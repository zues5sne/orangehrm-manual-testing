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Case" sheetId="1" r:id="rId5"/>
    <sheet state="visible" name="Summary_report" sheetId="2" r:id="rId6"/>
  </sheets>
  <definedNames/>
  <calcPr/>
</workbook>
</file>

<file path=xl/sharedStrings.xml><?xml version="1.0" encoding="utf-8"?>
<sst xmlns="http://schemas.openxmlformats.org/spreadsheetml/2006/main" count="659" uniqueCount="426">
  <si>
    <t>Project Name</t>
  </si>
  <si>
    <t>OrangeHRM Manual Testing</t>
  </si>
  <si>
    <t>Reference Document</t>
  </si>
  <si>
    <t>OHM-RA-2026 | OHM-TP-2026 | OHM-TS-2026</t>
  </si>
  <si>
    <t>Created By</t>
  </si>
  <si>
    <t xml:space="preserve">Nguyễn Long Vũ </t>
  </si>
  <si>
    <t>Date of creation</t>
  </si>
  <si>
    <t>Date of reivew</t>
  </si>
  <si>
    <t>#</t>
  </si>
  <si>
    <t>Test Case ID</t>
  </si>
  <si>
    <t>Module</t>
  </si>
  <si>
    <t>Test Objective</t>
  </si>
  <si>
    <t>Type</t>
  </si>
  <si>
    <t>Priority</t>
  </si>
  <si>
    <t>Precondition</t>
  </si>
  <si>
    <t>Steps</t>
  </si>
  <si>
    <t>Test Data</t>
  </si>
  <si>
    <t>Expected Result</t>
  </si>
  <si>
    <t>Actual Result</t>
  </si>
  <si>
    <t>Status</t>
  </si>
  <si>
    <t>Bug ID</t>
  </si>
  <si>
    <t>Notes</t>
  </si>
  <si>
    <t>TC_001</t>
  </si>
  <si>
    <t>Login</t>
  </si>
  <si>
    <t>Successful login with Admin credentials(admin/Admin123)</t>
  </si>
  <si>
    <t>Positive</t>
  </si>
  <si>
    <t>High</t>
  </si>
  <si>
    <r>
      <rPr/>
      <t xml:space="preserve">1.Browser is open
2 . User is on the OrangeHRM login page at </t>
    </r>
    <r>
      <rPr>
        <color rgb="FF1155CC"/>
        <u/>
      </rPr>
      <t>https://opensource-demo.orangehrmlive.com</t>
    </r>
  </si>
  <si>
    <t xml:space="preserve">1. Navigate to https://opensource-demo.orangehrmlive.com/
2. Enter admin in Username fields
3.Enter Admin123 in Password fields
4.Click the login button </t>
  </si>
  <si>
    <t>admin
admin123</t>
  </si>
  <si>
    <t>User is redirected to the OrangeHRM Dashboard
The top-right header displays 'Admin' (or the Admin display name).
Left navigation menu is fully visible with all Admin modules.</t>
  </si>
  <si>
    <t>Login successful. Redirected to /dashboard/index.
Full sidebar visible: Admin, PIM, Leave, Time, 
Recruitment, My Info, Performance, Dashboard, 
Directory, Maintenance, Claim, Buzz.
Header shows "Admin" username with avatar.</t>
  </si>
  <si>
    <t>PASS</t>
  </si>
  <si>
    <t>TC_002</t>
  </si>
  <si>
    <t>Admin has created an ESS User account .Successful login with valid ESS User credentials</t>
  </si>
  <si>
    <t xml:space="preserve">1.ESS User account created in Admin 
2.Browser open at login page </t>
  </si>
  <si>
    <t>1. Navigate to https://opensource-demo.orangehrmlive.com/
2. Enter ESS User's in Username fields
3.Enter password in Password fileds
4.Click the login button 
5.Observe the Dashboard and left navigation menu</t>
  </si>
  <si>
    <t>Username : testess
Password : Test@1234</t>
  </si>
  <si>
    <t>User is redirected to Dashboard. 
Left menu shows limited ESS options: Dashboard, My Info, Leave, Time, Performance, Directory, Buzz.
 Admin-only menus (Admin, PIM full access) are NOT visible.</t>
  </si>
  <si>
    <t>Login successful. Redirected to /dashboard/index.
Limited sidebar visible — Admin module NOT shown.
Header shows "testess" username.
Dashboard widgets visible with limited data.</t>
  </si>
  <si>
    <t>TC_003</t>
  </si>
  <si>
    <t xml:space="preserve">Login fails with incorrect password </t>
  </si>
  <si>
    <t>Negative</t>
  </si>
  <si>
    <t xml:space="preserve">High </t>
  </si>
  <si>
    <t>1.Browser open at login page</t>
  </si>
  <si>
    <t xml:space="preserve">1. Navitage to https://opensource-demo.orangehrmlive.com/
2. Enter Username : Admin
3.Enter password : wrongpass
4.Click the login button 
5.Observe error message </t>
  </si>
  <si>
    <t>Username : Admin
Password : wrongpass</t>
  </si>
  <si>
    <t>Error message displayrd : "Invaild credentials"
User remains on login page 
No redirect occurs</t>
  </si>
  <si>
    <t>Error message displayed at top of form:
"Invalid credentials".
User remained on login page.
No redirect occurred.</t>
  </si>
  <si>
    <t>TC_004</t>
  </si>
  <si>
    <t xml:space="preserve">Login fails with incorrect username </t>
  </si>
  <si>
    <t xml:space="preserve">1. Navitage to https://opensource-demo.orangehrmlive.com/
2. Enter Username : wronguser
3.Enter password : admin123
4.Click the login button 
5.Observe error message </t>
  </si>
  <si>
    <t>Username : wronguser
Password : admin123</t>
  </si>
  <si>
    <t xml:space="preserve">Error message displayed : "Invalid credentials"
User remains on login page </t>
  </si>
  <si>
    <t>Error message displayed: "Invalid credentials".
User remained on login page.
No redirect occurred.
Behavior identical to TC_003 — same error message
for both wrong username and wrong password.</t>
  </si>
  <si>
    <t>TC_005</t>
  </si>
  <si>
    <t xml:space="preserve">Login fails when both fields are empty </t>
  </si>
  <si>
    <t xml:space="preserve">1. Navitage to https://opensource-demo.orangehrmlive.com/
2. Leave username empty
3.Leave password empty
4.Click the login button 
5.Observe error </t>
  </si>
  <si>
    <t>Username : (empty)
Password : (empty)</t>
  </si>
  <si>
    <t xml:space="preserve">Validation message appear below both fields "Required".user stays on login page  </t>
  </si>
  <si>
    <t>Validation error appeared below Username: "Required".
Validation error appeared below Password: "Required".
Both fields highlighted in red.
User stayed on login page. No redirect.</t>
  </si>
  <si>
    <t>TC_006</t>
  </si>
  <si>
    <t xml:space="preserve">Login fails when username fields is empty </t>
  </si>
  <si>
    <t>Medium</t>
  </si>
  <si>
    <t xml:space="preserve">1. Navitage to https://opensource-demo.orangehrmlive.com/
2. Leave username fields empty
3.Enter password : admin123
4.Click the login button 
5.Observe error  </t>
  </si>
  <si>
    <t>Username : (empty)
Password : admin123</t>
  </si>
  <si>
    <t xml:space="preserve">Validation message appear below username fields "Required".user stays on login page  </t>
  </si>
  <si>
    <t>Validation error appeared below Username: "Required".
Password field accepted input normally.
User stayed on login page.
System validates Username field first before Password.</t>
  </si>
  <si>
    <t>TC_007</t>
  </si>
  <si>
    <t xml:space="preserve">Login fails when password fields is empty </t>
  </si>
  <si>
    <t xml:space="preserve">1. Navitage to https://opensource-demo.orangehrmlive.com/
2. Enter Username : Admin
3.Leave password fields empty
4.Click the login button 
5.Observe error </t>
  </si>
  <si>
    <t>Username : Admin
Password : (empty)</t>
  </si>
  <si>
    <t xml:space="preserve">Validation message appear below password fields "Required".user stays on login page  </t>
  </si>
  <si>
    <t>Validation error appeared below Password: "Required".
Username field accepted "Admin" correctly.
User stayed on login page.</t>
  </si>
  <si>
    <t>TC_008</t>
  </si>
  <si>
    <t>Login with username in ALL CAPS is rejected (case sensitivity)</t>
  </si>
  <si>
    <t>Boundary</t>
  </si>
  <si>
    <t>1. Navitage to https://opensource-demo.orangehrmlive.com/
2. Enter Username : ADMIN
3.Enter password : admin123
4.Click the login button 
5.Observe result</t>
  </si>
  <si>
    <t>Username : ADMIN
Password : admin123</t>
  </si>
  <si>
    <t>Login fails with "Invalid credentials" . System is case-sensitive "ADMIN" not "admin"</t>
  </si>
  <si>
    <t>Login successful with username "ADMIN" (all caps).
System is NOT case-sensitive for username field.
"ADMIN" accepted same as "Admin".
No error message displayed.</t>
  </si>
  <si>
    <t>FAILS</t>
  </si>
  <si>
    <r>
      <rPr/>
      <t xml:space="preserve">Bug ID: #1 ( </t>
    </r>
    <r>
      <rPr>
        <color rgb="FF1155CC"/>
        <u/>
      </rPr>
      <t>https://github.com/zues5sne/orangehrm-manual-testing/issues/1</t>
    </r>
    <r>
      <rPr/>
      <t xml:space="preserve"> )</t>
    </r>
  </si>
  <si>
    <t xml:space="preserve"> </t>
  </si>
  <si>
    <t>TC_009</t>
  </si>
  <si>
    <t>Login with leading/trailing spaces in username field</t>
  </si>
  <si>
    <t xml:space="preserve">1.Enter usname " Admin " (with spaces before/after)
2.Enter password : admin123
3.Click Login button
4.Observe result </t>
  </si>
  <si>
    <t>Username :  " Admin "
Password : admin123</t>
  </si>
  <si>
    <t>System may trim spaces (login succeeds) or reject (login fails)
Document actual behavior</t>
  </si>
  <si>
    <t>Login failed with username " admin " (leading/trailing spaces).
Error: "Invalid credentials".
System does NOT trim spaces — " admin " ≠ "Admin".
Username field is space-sensitive.</t>
  </si>
  <si>
    <t>TC_010</t>
  </si>
  <si>
    <t>Password field mask characters</t>
  </si>
  <si>
    <t>1.Click password field
2.Type any characters
3.Observe how characters are displayed</t>
  </si>
  <si>
    <t>Password : anyvalue123</t>
  </si>
  <si>
    <t>Characters appear as dots (•••) or asterisks. Plain text is never visible at any time during input.</t>
  </si>
  <si>
    <t>Typed "anyvalue123" into Password field.
All characters displayed as dots (•••).
Plain text never visible at any point during input.
Password masking works correctly.</t>
  </si>
  <si>
    <t>TC_011</t>
  </si>
  <si>
    <t xml:space="preserve">Forgot password link redirects to reset page </t>
  </si>
  <si>
    <t>1.Click "Forgot your Password?" link below login form 
2. Observe navigation</t>
  </si>
  <si>
    <t>Page redirects to password reset / recovery page . A form to enter email/password is displayed</t>
  </si>
  <si>
    <t>Clicked "Forgot your password?" link.
Redirected to /web/index.php/auth/requestPasswordResetCode.
Page shows form with field: "Username".
User can enter username to receive reset instructions.</t>
  </si>
  <si>
    <t>TC_012</t>
  </si>
  <si>
    <t>Browser Back button cannot restore session after logout</t>
  </si>
  <si>
    <t xml:space="preserve">1.User is logged in as Admin on DashBoard  </t>
  </si>
  <si>
    <t xml:space="preserve">1.Click username in top right - Logout
2.Confirm redirect to login page 
3.Press browser Back button
4.Observe result </t>
  </si>
  <si>
    <t xml:space="preserve">Browser does not navigate back to DashBoard .Login page remains displayed or user redirected to Login . Session is fully invalidated </t>
  </si>
  <si>
    <t>Clicked Logout → redirected to Login page.
Pressed browser Back button.
Dashboard loaded successfully WITHOUT re-authentication.
User can access protected pages after logout via Back button.
Session NOT fully invalidated on logout.</t>
  </si>
  <si>
    <r>
      <rPr/>
      <t xml:space="preserve">Bug ID: #2 ( </t>
    </r>
    <r>
      <rPr>
        <color rgb="FF1155CC"/>
        <u/>
      </rPr>
      <t>https://github.com/zues5sne/orangehrm-manual-testing/issues/2</t>
    </r>
    <r>
      <rPr/>
      <t xml:space="preserve"> )</t>
    </r>
  </si>
  <si>
    <t>TC_013</t>
  </si>
  <si>
    <t>PIM</t>
  </si>
  <si>
    <t xml:space="preserve">Admin adds new employee with all required fields </t>
  </si>
  <si>
    <t xml:space="preserve">1.Logged in as Admin.On PIM 
2.Employee List Page </t>
  </si>
  <si>
    <t>1.Click add button 
2.Enter first name : Test 
3.Enter Last name : Employee
4.Note auto-generated Employee ID
5.Click Save 
6.Observe result</t>
  </si>
  <si>
    <t>First name : Test
Last name : Employee 
Employee ID : ( auto )</t>
  </si>
  <si>
    <t>New employee created successfully . Success message shown . Employee appears in Employee List .Employee ID auto generated by system</t>
  </si>
  <si>
    <t>Employee "Test Employee" created successfully.
Success message shown. Appears in Employee List.</t>
  </si>
  <si>
    <t>System showed error: "Employee Id already exists". Manually changed ID to unique value. Clicked Save — employee created successfully. Success message displayed. Employee appears in Employee List.</t>
  </si>
  <si>
    <t>TC_014</t>
  </si>
  <si>
    <t xml:space="preserve">Admin cannot add employee without First Name </t>
  </si>
  <si>
    <t xml:space="preserve">1.Logged in as Admin.On Add Employee page </t>
  </si>
  <si>
    <t xml:space="preserve">1.Leave First Name empty 
2.Enter Last name : Employee
3.Click save 
4.Observe validation </t>
  </si>
  <si>
    <t>First name : (empty)
Last name : Employee 
Employee ID : ( auto )</t>
  </si>
  <si>
    <t xml:space="preserve">Error message shown on First Name field  : "Required" . Employee not created .System stays on Add Employee page </t>
  </si>
  <si>
    <t>Validation error: "Required" below First Name field.
Employee not created.</t>
  </si>
  <si>
    <t>TC_015</t>
  </si>
  <si>
    <t xml:space="preserve">Admin cannot add employee without Last Name </t>
  </si>
  <si>
    <t xml:space="preserve">1.Leave First Name : Test 
2.Enter Last name : (Empty)
3.Click save 
4.Observe validation </t>
  </si>
  <si>
    <t>First name : test
Last name : (empty)
Employee ID : ( auto )</t>
  </si>
  <si>
    <t xml:space="preserve">Error message shown on Last Name field  : "Required" . Employee not created .System stays on Add Employee page </t>
  </si>
  <si>
    <t>Validation error: "Required" below Last Name field.
Employee not created.</t>
  </si>
  <si>
    <t>TC_016</t>
  </si>
  <si>
    <t>Employee ID is auto generated when Admin adds new employee</t>
  </si>
  <si>
    <t xml:space="preserve">1.Open Add Employee form 
2.Observe Employee ID field before saving 
3.Save employee
4.Verify ID signed </t>
  </si>
  <si>
    <t xml:space="preserve">Employee field ID is pre-filled by system automatically . Value is unique and sequential .Can not be left blank by design </t>
  </si>
  <si>
    <t>Employee ID auto-generated as "0395".
Filled all required fields and clicked Save.
Error shown: "Employee Id already exists".
Verified ID 0395 belongs to another employee.
System has save-time validation but
auto-generation does not check existing IDs.
User must manually find and enter a unique ID.</t>
  </si>
  <si>
    <r>
      <rPr>
        <sz val="11.0"/>
      </rPr>
      <t xml:space="preserve">Bug ID: #3 ( </t>
    </r>
    <r>
      <rPr>
        <color rgb="FF1155CC"/>
        <sz val="11.0"/>
        <u/>
      </rPr>
      <t>https://github.com/zues5sne/orangehrm-manual-testing/issues/3</t>
    </r>
    <r>
      <rPr>
        <sz val="11.0"/>
      </rPr>
      <t xml:space="preserve"> )</t>
    </r>
  </si>
  <si>
    <t>TC_017</t>
  </si>
  <si>
    <t>Admin edits existing employee personal details</t>
  </si>
  <si>
    <t>1.Logged in as Admin. Test employee exists in system.</t>
  </si>
  <si>
    <t>1. Go to PIM &gt; Employee List
2. Click on test employee name
3. Go to Personal Details tab
4. Change Nationality field
5. Click Save
6. Reload page and verify</t>
  </si>
  <si>
    <t>Employee: Test Employee
 Nationality: change to any other value</t>
  </si>
  <si>
    <t>Changes saved successfully. Success toast notification shown. Updated value persists after page reload.</t>
  </si>
  <si>
    <t>Nationality updated to "Vietnamese".
Success toast shown. Change persists after reload.</t>
  </si>
  <si>
    <t>TC_018</t>
  </si>
  <si>
    <t xml:space="preserve">Admin Deletes an employee from the System </t>
  </si>
  <si>
    <t xml:space="preserve">Positive </t>
  </si>
  <si>
    <t>1.Logged in as Admin. At least one non-critical test employee exists.</t>
  </si>
  <si>
    <t>1. Go to PIM &gt; Employee List
 2. Select checkbox next to test employee
 3. Click Delete button
 4. Confirm deletion in dialog
 5. Verify employee removed</t>
  </si>
  <si>
    <t>Employee: Test Employee (created in TC_013)</t>
  </si>
  <si>
    <t>Employee deleted from system. No longer appears in Employee List. Searching for deleted employee returns no results.</t>
  </si>
  <si>
    <t>Confirmation dialog appeared.
Employee deleted. No longer in Employee List.</t>
  </si>
  <si>
    <t>TC_019</t>
  </si>
  <si>
    <t>Admin searches employee by full name - exact match</t>
  </si>
  <si>
    <t xml:space="preserve">1.Logged in as Admin. Multiple employees exist in System </t>
  </si>
  <si>
    <t xml:space="preserve">1. Go to PIM &gt; Employee List
 2. Enter full employee name in search field
3. Click search 
4.Observe result </t>
  </si>
  <si>
    <t xml:space="preserve"> Search: exact full name of existing employee</t>
  </si>
  <si>
    <t xml:space="preserve">Search returns exactly the matching employee. No unrelated employees shown. Results display name, ID, job title.
</t>
  </si>
  <si>
    <t>1 result returned — "Test Employee".
Exact match search working correctly.</t>
  </si>
  <si>
    <t>TC_020</t>
  </si>
  <si>
    <t>Admin searches employee by partial name - exact partial match check</t>
  </si>
  <si>
    <t xml:space="preserve">1. Go to PIM &gt; Employee List
 2. Enter partial employee name in search field
3. Click search 
4.Observe result </t>
  </si>
  <si>
    <t xml:space="preserve"> Search: exact partial name of existing employee</t>
  </si>
  <si>
    <t>All employees whose names contain the search string are returned. Results are relevant and complete.</t>
  </si>
  <si>
    <t>All employees containing "Test" returned.
Partial match working correctly.</t>
  </si>
  <si>
    <t>TC_021</t>
  </si>
  <si>
    <t xml:space="preserve">Admin searches employee by non-existent name </t>
  </si>
  <si>
    <t>1.Logged in as Admin</t>
  </si>
  <si>
    <t xml:space="preserve">1. Go to PIM &gt; Employee List
 2. Enter name that does not exist : "ccczzz"
3. Click search 
4.Observe result </t>
  </si>
  <si>
    <t xml:space="preserve"> Search: "ccczzz"</t>
  </si>
  <si>
    <t xml:space="preserve">Empty result displayed. Message shown: 'No Records Found' or equivalent. No error or crash occurs.
</t>
  </si>
  <si>
    <t>No results returned.
Message: "No Records Found".</t>
  </si>
  <si>
    <t>TC_022</t>
  </si>
  <si>
    <t>Uploads valid profile photo (JPG under 1MB)</t>
  </si>
  <si>
    <t xml:space="preserve">1.Logged in as Admin .On employee profile page </t>
  </si>
  <si>
    <t xml:space="preserve">1.Click on profile photo area 
2.Select valid JPG file under 1MB
3.Confirm upload 
4.Observe result </t>
  </si>
  <si>
    <t>File : Valid .JPG size &lt; 1MB</t>
  </si>
  <si>
    <t xml:space="preserve">Photo uploaded and displayed on employee profile . Updated photo visible in header and profile page </t>
  </si>
  <si>
    <t>Photo uploaded successfully.
Updated photo visible on profile and header.</t>
  </si>
  <si>
    <t>TC_023</t>
  </si>
  <si>
    <t xml:space="preserve">Uploads photo over 2MB - size limit check </t>
  </si>
  <si>
    <t>Logged in as Admin. On employee profile page.
Note: Exact limit unknown — testing to discover threshold.</t>
  </si>
  <si>
    <t xml:space="preserve">1.Click on profile photo area 
2.Select image file over 2MB 
3.Attempt upload 
4.Observe result </t>
  </si>
  <si>
    <t>File: image file &gt; 2MB</t>
  </si>
  <si>
    <t>Upload fails for files &gt;~1MB. Error message or silent failure observed. Exact size limit to be confirmed — document actual threshold found during testing.</t>
  </si>
  <si>
    <t>Selected image file over 2MB.
Upload attempted — system rejected the file.
Error message shown: file size exceeded limit.
Profile photo unchanged.</t>
  </si>
  <si>
    <t>Tested with 3.2MB file — rejected. 800KB file — accepted</t>
  </si>
  <si>
    <t>TC_024</t>
  </si>
  <si>
    <t>ESS User views own Personal Details in My Info</t>
  </si>
  <si>
    <t xml:space="preserve">Logged in as ESS User (testess).
</t>
  </si>
  <si>
    <t>1. Click 'My Info' in sidebar
2. Navigate to Personal Details tab
3. Observe displayed information</t>
  </si>
  <si>
    <t>ESS user : testess</t>
  </si>
  <si>
    <t xml:space="preserve">Personal Details tab shows ESS user's own information only . Fields display correctly . No other employee's data visible </t>
  </si>
  <si>
    <t>Own personal details displayed correctly.
No other employees' data visible.</t>
  </si>
  <si>
    <t>TC_025</t>
  </si>
  <si>
    <t xml:space="preserve">ESS User edits own Personal Details and save successfully </t>
  </si>
  <si>
    <t>1. Navigate to My Info &gt; Contact Details
2. Update mobile number field
3. Click Save
4. Reload page and verify</t>
  </si>
  <si>
    <t xml:space="preserve">Mobile: update to any valid number(0901234567)
</t>
  </si>
  <si>
    <t>Changes saved successfully. Success notification shown. Updated value persists after page reload.</t>
  </si>
  <si>
    <t>Mobile updated to 0901234567.
Success toast shown. Change persists after reload.</t>
  </si>
  <si>
    <t>TC_026</t>
  </si>
  <si>
    <t xml:space="preserve">ESS User can not access another employee's profile </t>
  </si>
  <si>
    <t xml:space="preserve">Permission
</t>
  </si>
  <si>
    <t xml:space="preserve">Logged in as ESS User. Know the URL pattern for employee profiles.
</t>
  </si>
  <si>
    <t>1. As ESS User, note URL of own profile
2. Modify employee ID in URL to another employee's ID
3. Press Enter
4. Observe result</t>
  </si>
  <si>
    <t xml:space="preserve">URL: modify empNumber parameter to different employee ID
</t>
  </si>
  <si>
    <t xml:space="preserve">Access denied. System redirects to own profile, Dashboard, or shows error message. ESS User cannot view other employees' data.
</t>
  </si>
  <si>
    <t>Logged in as testess.
Modified empNumber in URL to another employee's ID.
System redirected to own profile / Access Denied shown.
Other employee's data NOT accessible.
Permission control working correctly.</t>
  </si>
  <si>
    <t>TC_027</t>
  </si>
  <si>
    <t>ESS User cannot add new employee</t>
  </si>
  <si>
    <t>Logged in as ESS User (testess).</t>
  </si>
  <si>
    <t>1. Check sidebar menu — PIM module
2. Attempt to navigate to Add Employee URL directly
3. Observe result</t>
  </si>
  <si>
    <t xml:space="preserve">URL: /web/index.php/pim/addEmployee
</t>
  </si>
  <si>
    <t>Add Employee option not visible in ESS User menu. Direct URL access redirects to Dashboard or shows Access Denied.</t>
  </si>
  <si>
    <t>Add Employee not available in ESS menu.
Direct URL access redirected to Dashboard.</t>
  </si>
  <si>
    <t>TC_028</t>
  </si>
  <si>
    <t>Leave</t>
  </si>
  <si>
    <t xml:space="preserve">Admin assigns Leave Entitlement to ESS User </t>
  </si>
  <si>
    <t xml:space="preserve">Logged in as Admin 
ESS User exist </t>
  </si>
  <si>
    <t>1. Go to Leave &gt; Entitlements &gt; Add Entitlements
2. Select Employee: testess
3. Select Leave Type: Annual Leave
4. Set Days: 10
5. Set valid date range
6. Click Save</t>
  </si>
  <si>
    <t>Employee: testess
Leave Type: Annual Leave
Days: 10</t>
  </si>
  <si>
    <t xml:space="preserve">Entitlement assigned successfully. ESS User now has 10 days Annual Leave balance. Visible in Leave &gt; Entitlements list.
</t>
  </si>
  <si>
    <t>Navigated to Leave &gt; Entitlements &gt; Add Entitlements.
Selected Employee: testess.
Selected Leave Type: Annual Leave, Days: 10.
Clicked Save.
Success message shown.
Entitlement visible in Entitlements list.</t>
  </si>
  <si>
    <t>TC_029</t>
  </si>
  <si>
    <t>ESS User view balance Leave Entitlements</t>
  </si>
  <si>
    <t>Logged in as ESS User.
Leave ment assigned (TC_028 completed).</t>
  </si>
  <si>
    <t xml:space="preserve">1.Navigate to Leave &gt; My entitlement 
2.Observe leave balance table </t>
  </si>
  <si>
    <t>ESS User: testess</t>
  </si>
  <si>
    <t xml:space="preserve">Leave balance displayed correctly. Annual Leave shows 10 days (or remaining balance). All assigned leave types visible with correct numbers.
</t>
  </si>
  <si>
    <t>Logged in as testess.
Navigated to Leave &gt; My Entitlements.
Annual Leave balance shows 10 days available.
All assigned leave types displayed correctly.</t>
  </si>
  <si>
    <t>TC_030</t>
  </si>
  <si>
    <t>ESS User applies Annual Leave for valid future date range</t>
  </si>
  <si>
    <t>Logged in as ESS User. Has leave balance.</t>
  </si>
  <si>
    <t>1. Go to Leave &gt; Apply
2. Select Leave Type: Annual Leave
3. Set From Date: tomorrow's date
4. Set To Date: 2 days from now
5. Enter Comment: 'Portfolio testing'
6. Click Apply</t>
  </si>
  <si>
    <t>Leave Type: Annual Leave
From: tomorrow
To: 2 days later
Comment: Portfolio testing</t>
  </si>
  <si>
    <t>Leave request submitted. Status shows 'Pending'. Appears in My Leave list. Leave balance reduced by 2 days (or remains until approved — confirm behavior).</t>
  </si>
  <si>
    <t>Navigated to Leave &gt; Apply.
Selected Leave Type: Annual Leave.
Set From: tomorrow, To: 2 days later.
Entered Comment: Portfolio testing.
Clicked Apply.
Success message shown.
Request appears in My Leave with status: Pending.</t>
  </si>
  <si>
    <t>TC_031</t>
  </si>
  <si>
    <t xml:space="preserve">ESS User applies leave with start date = today </t>
  </si>
  <si>
    <t>1. Go to Leave &gt; Apply
2. Select Leave Type: Annual Leave
3. Set From Date: today
4. Set To Date: today
5. Click Apply</t>
  </si>
  <si>
    <t>From Date : Today
To Date : Today</t>
  </si>
  <si>
    <t>To be confirmed during testing: System either accepts same-day leave or shows validation. Document actual behavior — this is a boundary case.</t>
  </si>
  <si>
    <t>Validation error shown — cannot apply leave for current/past date</t>
  </si>
  <si>
    <t>TC_032</t>
  </si>
  <si>
    <t>Leave application when start date &gt; end date</t>
  </si>
  <si>
    <t>Logged in as ESS User. On Apply Leave page.</t>
  </si>
  <si>
    <t>1. Go to Leave &gt; Apply
2. Select Leave Type: Annual Leave
3. Set From Date: next Friday
4. Set To Date: this Monday (before From Date)
5. Click Apply</t>
  </si>
  <si>
    <t xml:space="preserve">From Date : later date 
To Date : earlier date </t>
  </si>
  <si>
    <t>Validation error shown: date range is invalid. Application not submitted. User stays on Apply Leave page.</t>
  </si>
  <si>
    <t>Set From Date: next Friday.
Set To Date: this Monday (before From Date).
Clicked Apply.
Validation error shown — invalid date range.
Application not submitted.
User stayed on Apply Leave page.</t>
  </si>
  <si>
    <t>TC_033</t>
  </si>
  <si>
    <t>Leave application when start date = end date (leave 1 day )</t>
  </si>
  <si>
    <t>1. Go to Leave &gt; Apply
2. Set From Date and To Date to same future date
3. Click Apply</t>
  </si>
  <si>
    <t xml:space="preserve">From: future date 
To: same date </t>
  </si>
  <si>
    <t>1-day leave request submitted successfully. Status shows 'Pending'. Leave balance reduced by 1 day (or upon approval).</t>
  </si>
  <si>
    <t>Set From Date and To Date to same future date.
Clicked Apply.
1-day leave request submitted successfully.
Status: Pending. 1 day deducted from balance preview.</t>
  </si>
  <si>
    <t>TC_034</t>
  </si>
  <si>
    <t>Leave spanning a weekend counts Sat/Sun as leave days</t>
  </si>
  <si>
    <t>Logged in as ESS User. Has sufficient balance.</t>
  </si>
  <si>
    <t>1. Apply leave from Friday to Monday (4 days including Sat/Sun)
 2. Observe number of days counted
 3. Check balance deduction</t>
  </si>
  <si>
    <t>From: Friday
To: Monday (next week)</t>
  </si>
  <si>
    <t>System counts Saturday and Sunday as leave days. Total = 4 days deducted. This appears to be system default — working days config not set in demo environment.</t>
  </si>
  <si>
    <t>System calculates working days only.
Leave from Friday to Monday = 2 days.
Saturday and Sunday excluded from calculation.</t>
  </si>
  <si>
    <t>TC_035</t>
  </si>
  <si>
    <t xml:space="preserve">Apply leave with zero entitlement balance </t>
  </si>
  <si>
    <t>Logged in as ESS User. Leave balance = 0 for selected leave type.</t>
  </si>
  <si>
    <t>1. Go to Leave &gt; Apply
2. Select leave type with 0 balance
3. Set date range
4. Click Apply</t>
  </si>
  <si>
    <t>Leave Type: type with 0 days remaining</t>
  </si>
  <si>
    <t xml:space="preserve">System shows warning or blocks submission. Message indicates insufficient leave balance. Application not created. Exact behavior to be confirmed during testing.
</t>
  </si>
  <si>
    <t>Warning shown: insufficient leave balance.
Application not submitted.</t>
  </si>
  <si>
    <t>TC_036</t>
  </si>
  <si>
    <t>ESS User cancels a Pending leave request</t>
  </si>
  <si>
    <t>Logged in as ESS User. Has at least one Pending leave request.</t>
  </si>
  <si>
    <t>1. Go to Leave &gt; My Leave
2. Find Pending leave request
3. Click Cancel on the request
4. Confirm cancellation
5. Observe status change</t>
  </si>
  <si>
    <t>Leave request status: Pending</t>
  </si>
  <si>
    <t>Leave request status changes to 'Cancelled'. Leave balance restored. Request no longer appears as Pending.</t>
  </si>
  <si>
    <t>Confirmation dialog appeared.
Confirmed cancellation.
Status changed to "Cancelled".
Leave balance restored.</t>
  </si>
  <si>
    <t>TC_037</t>
  </si>
  <si>
    <t>ESS User attempts to cancel an Approved leave</t>
  </si>
  <si>
    <t>Logged in as ESS User. Has at least one Approved leave request.</t>
  </si>
  <si>
    <t>1. Go to Leave &gt; My Leave
 2. Find Approved leave request
 3. Attempt to cancel
 4. Observe system response</t>
  </si>
  <si>
    <t>Leave request status: Approved</t>
  </si>
  <si>
    <t>System may not allow cancellation of Approved leave, or may require additional approval to cancel. Document actual behavior — cancel option may be absent or restricted.</t>
  </si>
  <si>
    <t>Cancel option available on Approved request.
Cancellation submitted — status changed to Cancelled.
Balance restored.</t>
  </si>
  <si>
    <t>TC_038</t>
  </si>
  <si>
    <t>Admin approves a Pending leave request</t>
  </si>
  <si>
    <t>Logged in as Admin. ESS User has submitted leave request (TC_030 completed).</t>
  </si>
  <si>
    <t>1. Go to Leave &gt; Leave List
 2. Find ESS User's Pending request
 3. Click on request
 4. Click Approve button
 5. Observe status change</t>
  </si>
  <si>
    <t>Leave request from testess, status: Pending</t>
  </si>
  <si>
    <t>Leave status changes to 'Approved'. Approval visible in Leave List. ESS User's leave balance updated accordingly.</t>
  </si>
  <si>
    <t>Logged in as Admin.
Navigated to Leave &gt; Leave List.
Found testess Pending request.
Clicked on request — detail page opened.
Clicked Approve button.
Status changed to "Approved".
Approval reflected in Leave List immediately.</t>
  </si>
  <si>
    <t>TC_039</t>
  </si>
  <si>
    <t>Admin rejects a Pending leave request with reason</t>
  </si>
  <si>
    <t>Logged in as Admin. ESS User has a Pending leave request.</t>
  </si>
  <si>
    <t>1. Go to Leave &gt; Leave List
 2. Find Pending request
 3. Click on request
 4. Click Reject button
 5. Enter rejection reason: 'Insufficient staffing'
 6. Confirm rejection</t>
  </si>
  <si>
    <t>Rejection reason: Insufficient staffing</t>
  </si>
  <si>
    <t>Leave status changes to 'Rejected'. Rejection reason saved and visible. Leave balance NOT deducted (or restored if already deducted).</t>
  </si>
  <si>
    <t>Found another Pending leave request.
Clicked Reject button.
Text field appeared for rejection reason.
Entered: "Insufficient staffing".
Confirmed rejection.
Status changed to "Rejected".
Rejection reason saved and visible in detail view.</t>
  </si>
  <si>
    <t>TC_040</t>
  </si>
  <si>
    <t>ESS User filters leave history by date range</t>
  </si>
  <si>
    <t>Logged in as ESS User. Has leave history with multiple entries.</t>
  </si>
  <si>
    <t>1. Go to Leave &gt; My Leave
 2. Set date range filter: From = 01/01/2026, To = 31/12/2026
 3. Click Search/Filter
 4. Observe results</t>
  </si>
  <si>
    <t>Date range: 01/01/2026 to 31/12/2026</t>
  </si>
  <si>
    <t>Only leave requests within the specified date range are displayed. Requests outside range are hidden. Results are accurate.</t>
  </si>
  <si>
    <t>Navigated to Leave &gt; My Leave.
Set date range: 01/01/2026 to 31/12/2026.
Clicked Search.
Only leave requests within date range displayed.
Results accurate — no out-of-range entries shown.</t>
  </si>
  <si>
    <t>TC_041</t>
  </si>
  <si>
    <t>ESS User cannot approve another employee's leave</t>
  </si>
  <si>
    <t>Permission</t>
  </si>
  <si>
    <t>Logged in as ESS User.</t>
  </si>
  <si>
    <t>1. Check Leave module sidebar options as ESS User
 2. Attempt to access Leave &gt; Leave List URL directly
 3. Observe access</t>
  </si>
  <si>
    <t>URL: /web/index.php/leave/viewLeaveList</t>
  </si>
  <si>
    <t>ESS User cannot see 'Leave List' (all employees) in menu. Direct URL access redirects or shows Access Denied. ESS User can only see own leave history.</t>
  </si>
  <si>
    <t>Logged in as testess.
Checked Leave module sidebar — 
"Leave List" (all employees) NOT visible.
Attempted direct URL: /web/index.php/leave/viewLeaveList.
Redirected to Dashboard. Access denied.
ESS User can only see own leave in My Leave.</t>
  </si>
  <si>
    <t>TC_042</t>
  </si>
  <si>
    <t>Apply leave with Comment — verify comment is saved</t>
  </si>
  <si>
    <t>Low</t>
  </si>
  <si>
    <t>1. Go to Leave &gt; Apply
 2. Fill required fields
 3. Enter Comment: 'Personal appointment'
 4. Click Apply
 5. Open the leave request and verify comment</t>
  </si>
  <si>
    <t>Comment: Personal appointment</t>
  </si>
  <si>
    <t>Leave request submitted. When opening the request detail, Comment field shows 'Personal appointment'. Comment visible to Admin in Leave List view.</t>
  </si>
  <si>
    <t>Applied leave with Comment: "Personal appointment".
Leave submitted successfully.
Opened leave request detail.
Comment "Personal appointment" displayed correctly.
Comment visible to Admin in Leave List view.</t>
  </si>
  <si>
    <t>TC_043</t>
  </si>
  <si>
    <t>Directory</t>
  </si>
  <si>
    <t xml:space="preserve">Search employee by full name returns correct result  </t>
  </si>
  <si>
    <t xml:space="preserve">Logged in as Admin or ESS User
On Directory page </t>
  </si>
  <si>
    <t>1.Navigate to Directory
2.Enter full employee name in search box 
3.Observe results</t>
  </si>
  <si>
    <t>Search : exact full name of existing employee</t>
  </si>
  <si>
    <t xml:space="preserve">Employee displayed with correct name , job title , and photo . No unrelated employees shown </t>
  </si>
  <si>
    <t>Navigated to Directory page.
Entered full employee name in search box.
Clicked Search.
Correct employee card displayed with name,
job title and photo.
No unrelated employees shown.</t>
  </si>
  <si>
    <t>TC_044</t>
  </si>
  <si>
    <t xml:space="preserve">Search employee by partial name returns partial match result  </t>
  </si>
  <si>
    <t>1.Navigate to Directory
2.Enter partial employee name in search box 
3.Observe results</t>
  </si>
  <si>
    <t>Search : partial name "Jo"</t>
  </si>
  <si>
    <t xml:space="preserve">All employees whose names contain 'Jo' are returned. Results are relevant. Confirms partial/contains matching behavior.
</t>
  </si>
  <si>
    <t>Entered partial name (first 2-3 letters).
All employees containing search string returned.
Partial/contains match working correctly.</t>
  </si>
  <si>
    <t>TC_045</t>
  </si>
  <si>
    <t xml:space="preserve">Search with non existent name returns empty result </t>
  </si>
  <si>
    <t>1.Navigate to Directory
2.Enter non-existent name "aaaa" in search box
3.Observe results</t>
  </si>
  <si>
    <t>Search : '' aaaaa" (non-existent name)</t>
  </si>
  <si>
    <t>Empty result displayed. Message shown: 'No Records Found' or similar. No error or crash.</t>
  </si>
  <si>
    <t>Entered "ZZZxxx" in search box.
No results returned.
Message displayed: "No Records Found".
No error or crash occurred.</t>
  </si>
  <si>
    <t>TC_046</t>
  </si>
  <si>
    <t xml:space="preserve">Filter employees by Job Title </t>
  </si>
  <si>
    <t>1.Navigate to Directory
2.Click Job Title dropdown 
3.Select any existing job title 
4.Observe filtered results</t>
  </si>
  <si>
    <t>Job title : any existing title ("Software engineer")</t>
  </si>
  <si>
    <t xml:space="preserve">Only employees with selected job title displayed . Filter applied correctly .Card count matches expected employees with that title </t>
  </si>
  <si>
    <t>Selected Job Title filter from dropdown.
Only employees with selected job title displayed.
Filter applied correctly.
Card count reduced to matching employees only.</t>
  </si>
  <si>
    <t>TC_047</t>
  </si>
  <si>
    <t>Filter employees by Location</t>
  </si>
  <si>
    <t>1.Navigate to Directory
2.Click Location dropdown 
3.Select any existing Location
4.Observe filtered results</t>
  </si>
  <si>
    <t>Location: any existing Location</t>
  </si>
  <si>
    <t xml:space="preserve">Only employees at selected location displayed. Filter works correctly.
</t>
  </si>
  <si>
    <t>Selected Location filter from dropdown.
Only employees at selected location displayed.
Filter working correctly.</t>
  </si>
  <si>
    <t>TC_048</t>
  </si>
  <si>
    <t>Filter by Location returns inconsistent results (OBS-04)</t>
  </si>
  <si>
    <t>1. Navigate to Directory
2. Select Location filter
3. Observe results
4. Clear filter and re-apply same selection
5. Compare results</t>
  </si>
  <si>
    <t>Location: any filter value</t>
  </si>
  <si>
    <t xml:space="preserve">BUG EXPECTED (OBS-04): Filter may return inconsistent results across attempts. Document exact behavior — if filter consistently fails, log as confirmed bug.
</t>
  </si>
  <si>
    <t>Filter by Location returns consistent results.
Same number of employees shown across multiple attempts.
OBS-04 could not be reproduced.</t>
  </si>
  <si>
    <t>TC_049</t>
  </si>
  <si>
    <t xml:space="preserve">Employee card displays name, job title, and photo
</t>
  </si>
  <si>
    <t>1. Navigate to Directory
2. Observe employee cards in the grid
3. Check each card's displayed information</t>
  </si>
  <si>
    <t xml:space="preserve">Each employee card shows: profile photo (or placeholder), full name, job title, and location/sub-unit. All elements visible and correctly formatted.
</t>
  </si>
  <si>
    <t>Observed employee cards on Directory page.
Each card displays: profile photo (or placeholder),
full name, job title and location/sub-unit.
All elements visible and correctly formatted.
No missing fields detected on any card.</t>
  </si>
  <si>
    <t>TC_050</t>
  </si>
  <si>
    <t>Clearing all filters restores full directory</t>
  </si>
  <si>
    <t>1. Apply Job Title filter — partial list shown
2. Clear the filter (click X or Reset)
3. Observe directory list</t>
  </si>
  <si>
    <t xml:space="preserve">Full employee directory restored after clearing filter. All employees visible again. No employees missing after filter reset.
</t>
  </si>
  <si>
    <t>Applied Job Title filter — partial list shown.
Clicked Clear/Reset filter button.
Full employee directory restored immediately.
All employees visible again.
No employees missing after filter reset.</t>
  </si>
  <si>
    <t>TEST SUMMARY REPORT — OrangeHRM Manual Testing</t>
  </si>
  <si>
    <t>PROJECT INFORMATION</t>
  </si>
  <si>
    <t>Project</t>
  </si>
  <si>
    <t>Website</t>
  </si>
  <si>
    <t>https://opensource-demo.orangehrmlive.com</t>
  </si>
  <si>
    <t>Tester</t>
  </si>
  <si>
    <t>Nguyễn Long Vũ</t>
  </si>
  <si>
    <t>Test Period</t>
  </si>
  <si>
    <t>10/06/2026 — 20/06/2026</t>
  </si>
  <si>
    <t>Environment</t>
  </si>
  <si>
    <t>Chrome 124 / Windows 11</t>
  </si>
  <si>
    <t>Reference</t>
  </si>
  <si>
    <t>Report Date</t>
  </si>
  <si>
    <t>OVERALL TEST RESULTS</t>
  </si>
  <si>
    <t>Total TC</t>
  </si>
  <si>
    <t>Pass</t>
  </si>
  <si>
    <t>Fail</t>
  </si>
  <si>
    <t>Skip</t>
  </si>
  <si>
    <t>Pass Rate</t>
  </si>
  <si>
    <t>Overall</t>
  </si>
  <si>
    <t>PASSED with 3 defects found</t>
  </si>
  <si>
    <t>2 security bugs: case-insensitive login, session not invalidated</t>
  </si>
  <si>
    <t>1 bug: auto-generated Employee ID duplicates existing IDs</t>
  </si>
  <si>
    <t>All scenarios pass including boundary cases (weekend = 2 days)</t>
  </si>
  <si>
    <t>All pass — OBS-04 (filter inconsistency) could not be reproduced</t>
  </si>
  <si>
    <t>TOTAL</t>
  </si>
  <si>
    <t>BUG REPORT SUMMARY</t>
  </si>
  <si>
    <t>Severity</t>
  </si>
  <si>
    <t>TC Ref</t>
  </si>
  <si>
    <t>Title</t>
  </si>
  <si>
    <t>BUG-001</t>
  </si>
  <si>
    <t xml:space="preserve">Login </t>
  </si>
  <si>
    <t>Open</t>
  </si>
  <si>
    <t>Username login is case-insensitive — 'ADMIN' accepted same as 'Admin'</t>
  </si>
  <si>
    <t>BUG-002</t>
  </si>
  <si>
    <t xml:space="preserve">Session not invalidated after logout — Back button restores Dashboard access
</t>
  </si>
  <si>
    <t>BUG-003</t>
  </si>
  <si>
    <t>Auto-generated Employee ID may duplicate existing IDs — no uniqueness check on generation</t>
  </si>
  <si>
    <t>PERSONAL NOTES &amp; OBSERVATIONS (Tester's own words)</t>
  </si>
  <si>
    <t>Note 1: TC_028 — Leave Entitlement setup</t>
  </si>
  <si>
    <t>Ban đầu không hiểu tại sao ESS User không apply leave được — cứ nghĩ là bug. Sau 30 phút mới phát hiện phải assign Entitlement trước (TC_028). Đây là precondition quan trọng phải làm trước khi test toàn bộ Leave module.</t>
  </si>
  <si>
    <t>Note 2: TC_034 — Weekend calculation</t>
  </si>
  <si>
    <t>Assume lúc đầu: Thứ 6 → Thứ 2 = 4 ngày (tính cả Sat/Sun). Thực tế test ra = 2 ngày (chỉ working days). Phải sửa lại Expected Result. Bài học: không được assume behavior — phải test thật để biết.</t>
  </si>
  <si>
    <t>Note 3: TC_016 — Auto-generated Employee ID</t>
  </si>
  <si>
    <t>Phát hiện bug : hệ thống tự tạo Employee ID nhưng ID đó đã thuộc về người khác. Hệ thống báo lỗi khi save — không mất data. Nhưng UX tệ vì người dùng phải tự tìm ID trống để điền.</t>
  </si>
  <si>
    <t>Note 4: TC_008 — Case sensitivity</t>
  </si>
  <si>
    <t>ADMIN/admin123 đăng nhập được — hệ thống không phân biệt hoa/thường cho username. Đây là security weakness vì brute force dễ hơn. Log BUG-001. Ngược lại TC_009 " admin " với spaces bị reject — hệ thống nhạy cảm với spaces nhưng không nhạy cảm với case.</t>
  </si>
  <si>
    <t>Note 5: TC_012 — Session Bug</t>
  </si>
  <si>
    <t>Bug nghiêm trọng nhất: sau khi logout, bấm Back vẫn vào được Dashboard. Trong môi trường thật đây là lỗi bảo mật nguy hiểm — ai dùng máy chung có thể truy cập tài khoản người khác sau khi họ logout. Log BUG-002 với severity High.</t>
  </si>
  <si>
    <t>CONCLUSION &amp; RECOMMENDATION</t>
  </si>
  <si>
    <t xml:space="preserve">94% pass rate (47/50 TC). Core HR workflows function correctly for both Admin and ESS User roles.				</t>
  </si>
  <si>
    <t>Must Fix</t>
  </si>
  <si>
    <t xml:space="preserve">BUG-002 (High): Session invalidation — logout must fully clear session. Back button access is a security risk.                                </t>
  </si>
  <si>
    <t>Should Fix</t>
  </si>
  <si>
    <t xml:space="preserve">BUG-001 (Medium): Username should be case-sensitive. BUG-003 (Medium): Auto-generated Employee ID should be unique.				</t>
  </si>
  <si>
    <t xml:space="preserve">Key Finding
</t>
  </si>
  <si>
    <t xml:space="preserve">Leave module correctly calculates working days only — weekends excluded. Leave approval workflow functions end-to-end.                                </t>
  </si>
  <si>
    <t>Recommendation</t>
  </si>
  <si>
    <t xml:space="preserve">Conditionally approved — fix BUG-002 before production. Core functionality meets requirements.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</si>
</sst>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25">
    <font>
      <sz val="10.0"/>
      <color rgb="FF000000"/>
      <name val="Arial"/>
      <scheme val="minor"/>
    </font>
    <font>
      <color rgb="FF000000"/>
      <name val="Arial"/>
    </font>
    <font>
      <sz val="11.0"/>
      <color rgb="FF000000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u/>
      <color rgb="FF0000FF"/>
    </font>
    <font>
      <color rgb="FF1F1F1F"/>
      <name val="Arial"/>
      <scheme val="minor"/>
    </font>
    <font>
      <sz val="11.0"/>
      <color theme="1"/>
      <name val="Arial"/>
      <scheme val="minor"/>
    </font>
    <font>
      <sz val="14.0"/>
      <color rgb="FF252525"/>
      <name val="Roboto"/>
    </font>
    <font>
      <color theme="1"/>
      <name val="Arial"/>
    </font>
    <font>
      <b/>
      <color rgb="FF000000"/>
      <name val="Arial"/>
    </font>
    <font>
      <b/>
      <sz val="12.0"/>
      <color rgb="FFFFFFFF"/>
      <name val="Arial"/>
    </font>
    <font>
      <b/>
      <sz val="11.0"/>
      <color rgb="FF1A3A5C"/>
      <name val="Arial"/>
    </font>
    <font>
      <u/>
      <sz val="11.0"/>
      <color rgb="FF0000FF"/>
      <name val="Arial"/>
    </font>
    <font>
      <b/>
      <sz val="11.0"/>
      <color rgb="FF000000"/>
      <name val="Arial"/>
    </font>
    <font>
      <sz val="13.0"/>
      <color rgb="FF1A3A5C"/>
      <name val="Arial"/>
    </font>
    <font>
      <b/>
      <sz val="13.0"/>
      <color rgb="FF375623"/>
      <name val="Arial"/>
    </font>
    <font>
      <b/>
      <sz val="13.0"/>
      <color rgb="FFC00000"/>
      <name val="Arial"/>
    </font>
    <font>
      <b/>
      <sz val="13.0"/>
      <color rgb="FF000000"/>
      <name val="Arial"/>
    </font>
    <font>
      <sz val="13.0"/>
      <color rgb="FF000000"/>
      <name val="Arial"/>
    </font>
    <font>
      <b/>
      <sz val="11.0"/>
      <color rgb="FF375623"/>
      <name val="Arial"/>
    </font>
    <font>
      <b/>
      <color rgb="FF1A3A5C"/>
      <name val="Arial"/>
    </font>
    <font>
      <color rgb="FF375623"/>
      <name val="Arial"/>
    </font>
    <font>
      <b/>
      <sz val="11.0"/>
      <color rgb="FFC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6FA8DC"/>
        <bgColor rgb="FF6FA8DC"/>
      </patternFill>
    </fill>
    <fill>
      <patternFill patternType="solid">
        <fgColor rgb="FFC00000"/>
        <bgColor rgb="FFC00000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2" numFmtId="0" xfId="0" applyAlignment="1" applyFill="1" applyFont="1">
      <alignment horizontal="left" readingOrder="0" shrinkToFit="0" vertical="bottom" wrapText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4" fontId="1" numFmtId="0" xfId="0" applyAlignment="1" applyFill="1" applyFont="1">
      <alignment readingOrder="0" shrinkToFit="0" vertical="bottom" wrapText="0"/>
    </xf>
    <xf borderId="0" fillId="4" fontId="1" numFmtId="0" xfId="0" applyAlignment="1" applyFont="1">
      <alignment horizontal="left" readingOrder="0" shrinkToFit="0" vertical="bottom" wrapText="0"/>
    </xf>
    <xf borderId="0" fillId="4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3" fontId="9" numFmtId="0" xfId="0" applyAlignment="1" applyFont="1">
      <alignment readingOrder="0"/>
    </xf>
    <xf borderId="0" fillId="3" fontId="1" numFmtId="0" xfId="0" applyAlignment="1" applyFont="1">
      <alignment horizontal="left" readingOrder="0"/>
    </xf>
    <xf borderId="0" fillId="3" fontId="0" numFmtId="0" xfId="0" applyAlignment="1" applyFont="1">
      <alignment horizontal="left" readingOrder="0"/>
    </xf>
    <xf borderId="0" fillId="3" fontId="5" numFmtId="0" xfId="0" applyAlignment="1" applyFont="1">
      <alignment horizontal="left" readingOrder="0"/>
    </xf>
    <xf borderId="0" fillId="3" fontId="10" numFmtId="0" xfId="0" applyAlignment="1" applyFont="1">
      <alignment readingOrder="0" vertical="bottom"/>
    </xf>
    <xf borderId="0" fillId="3" fontId="5" numFmtId="0" xfId="0" applyAlignment="1" applyFont="1">
      <alignment horizontal="right" readingOrder="0"/>
    </xf>
    <xf borderId="0" fillId="3" fontId="10" numFmtId="0" xfId="0" applyAlignment="1" applyFont="1">
      <alignment vertical="bottom"/>
    </xf>
    <xf borderId="0" fillId="3" fontId="2" numFmtId="0" xfId="0" applyAlignment="1" applyFont="1">
      <alignment horizontal="left" readingOrder="0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4" numFmtId="0" xfId="0" applyFont="1"/>
    <xf borderId="0" fillId="5" fontId="11" numFmtId="0" xfId="0" applyAlignment="1" applyFill="1" applyFont="1">
      <alignment horizontal="lef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5" fontId="12" numFmtId="0" xfId="0" applyAlignment="1" applyFont="1">
      <alignment horizontal="left" readingOrder="0" shrinkToFit="0" vertical="bottom" wrapText="0"/>
    </xf>
    <xf borderId="0" fillId="3" fontId="1" numFmtId="0" xfId="0" applyAlignment="1" applyFont="1">
      <alignment shrinkToFit="0" vertical="bottom" wrapText="0"/>
    </xf>
    <xf borderId="0" fillId="6" fontId="13" numFmtId="0" xfId="0" applyAlignment="1" applyFill="1" applyFont="1">
      <alignment horizontal="left" readingOrder="0"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0" fillId="3" fontId="2" numFmtId="165" xfId="0" applyAlignment="1" applyFont="1" applyNumberFormat="1">
      <alignment horizontal="left" readingOrder="0" shrinkToFit="0" vertical="bottom" wrapText="0"/>
    </xf>
    <xf borderId="0" fillId="6" fontId="15" numFmtId="0" xfId="0" applyAlignment="1" applyFont="1">
      <alignment horizontal="center" readingOrder="0" shrinkToFit="0" vertical="bottom" wrapText="0"/>
    </xf>
    <xf borderId="0" fillId="3" fontId="16" numFmtId="0" xfId="0" applyAlignment="1" applyFont="1">
      <alignment horizontal="center" readingOrder="0" shrinkToFit="0" vertical="bottom" wrapText="0"/>
    </xf>
    <xf borderId="0" fillId="3" fontId="17" numFmtId="0" xfId="0" applyAlignment="1" applyFont="1">
      <alignment horizontal="center" readingOrder="0" shrinkToFit="0" vertical="bottom" wrapText="0"/>
    </xf>
    <xf borderId="0" fillId="3" fontId="18" numFmtId="0" xfId="0" applyAlignment="1" applyFont="1">
      <alignment horizontal="center" readingOrder="0" shrinkToFit="0" vertical="bottom" wrapText="0"/>
    </xf>
    <xf borderId="0" fillId="3" fontId="19" numFmtId="0" xfId="0" applyAlignment="1" applyFont="1">
      <alignment horizontal="center" readingOrder="0" shrinkToFit="0" vertical="bottom" wrapText="0"/>
    </xf>
    <xf borderId="0" fillId="3" fontId="20" numFmtId="10" xfId="0" applyAlignment="1" applyFont="1" applyNumberFormat="1">
      <alignment horizontal="center" readingOrder="0" shrinkToFit="0" vertical="bottom" wrapText="0"/>
    </xf>
    <xf borderId="0" fillId="3" fontId="21" numFmtId="0" xfId="0" applyAlignment="1" applyFont="1">
      <alignment horizontal="center" readingOrder="0" shrinkToFit="0" vertical="bottom" wrapText="0"/>
    </xf>
    <xf borderId="0" fillId="6" fontId="22" numFmtId="0" xfId="0" applyAlignment="1" applyFont="1">
      <alignment horizontal="left" readingOrder="0" shrinkToFit="0" vertical="bottom" wrapText="0"/>
    </xf>
    <xf borderId="0" fillId="3" fontId="1" numFmtId="0" xfId="0" applyAlignment="1" applyFont="1">
      <alignment horizontal="center" readingOrder="0" shrinkToFit="0" vertical="bottom" wrapText="0"/>
    </xf>
    <xf borderId="0" fillId="3" fontId="23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0" xfId="0" applyAlignment="1" applyFont="1" applyNumberFormat="1">
      <alignment horizontal="right" readingOrder="0" shrinkToFit="0" vertical="bottom" wrapText="0"/>
    </xf>
    <xf borderId="0" fillId="3" fontId="1" numFmtId="0" xfId="0" applyAlignment="1" applyFont="1">
      <alignment horizontal="left" readingOrder="0" shrinkToFit="0" vertical="bottom" wrapText="0"/>
    </xf>
    <xf borderId="0" fillId="6" fontId="11" numFmtId="10" xfId="0" applyAlignment="1" applyFont="1" applyNumberFormat="1">
      <alignment horizontal="center" readingOrder="0" shrinkToFit="0" vertical="bottom" wrapText="0"/>
    </xf>
    <xf borderId="0" fillId="6" fontId="2" numFmtId="0" xfId="0" applyAlignment="1" applyFont="1">
      <alignment horizontal="left" shrinkToFit="0" vertical="bottom" wrapText="0"/>
    </xf>
    <xf borderId="0" fillId="7" fontId="12" numFmtId="0" xfId="0" applyAlignment="1" applyFill="1" applyFont="1">
      <alignment horizontal="left" readingOrder="0" shrinkToFit="0" vertical="bottom" wrapText="0"/>
    </xf>
    <xf borderId="0" fillId="3" fontId="15" numFmtId="0" xfId="0" applyAlignment="1" applyFont="1">
      <alignment horizontal="left" readingOrder="0" shrinkToFit="0" vertical="bottom" wrapText="0"/>
    </xf>
    <xf borderId="0" fillId="3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3" fontId="24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" TargetMode="External"/><Relationship Id="rId2" Type="http://schemas.openxmlformats.org/officeDocument/2006/relationships/hyperlink" Target="https://github.com/zues5sne/orangehrm-manual-testing/issues/1" TargetMode="External"/><Relationship Id="rId3" Type="http://schemas.openxmlformats.org/officeDocument/2006/relationships/hyperlink" Target="https://github.com/zues5sne/orangehrm-manual-testing/issues/2" TargetMode="External"/><Relationship Id="rId4" Type="http://schemas.openxmlformats.org/officeDocument/2006/relationships/hyperlink" Target="https://github.com/zues5sne/orangehrm-manual-testing/issues/3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4" max="4" width="67.88"/>
    <col customWidth="1" min="7" max="7" width="67.0"/>
    <col customWidth="1" min="8" max="8" width="45.25"/>
    <col customWidth="1" min="9" max="9" width="46.5"/>
    <col customWidth="1" min="10" max="10" width="127.38"/>
    <col customWidth="1" min="11" max="11" width="40.88"/>
    <col customWidth="1" min="13" max="13" width="58.75"/>
  </cols>
  <sheetData>
    <row r="1">
      <c r="A1" s="1" t="s">
        <v>0</v>
      </c>
      <c r="B1" s="2" t="s">
        <v>1</v>
      </c>
      <c r="K1" s="3"/>
    </row>
    <row r="2">
      <c r="A2" s="1" t="s">
        <v>2</v>
      </c>
      <c r="B2" s="2" t="s">
        <v>3</v>
      </c>
      <c r="K2" s="3"/>
    </row>
    <row r="3">
      <c r="A3" s="1" t="s">
        <v>4</v>
      </c>
      <c r="B3" s="4" t="s">
        <v>5</v>
      </c>
      <c r="K3" s="3"/>
    </row>
    <row r="4">
      <c r="A4" s="1" t="s">
        <v>6</v>
      </c>
      <c r="B4" s="5">
        <v>46183.0</v>
      </c>
      <c r="K4" s="3"/>
    </row>
    <row r="5">
      <c r="A5" s="1" t="s">
        <v>7</v>
      </c>
      <c r="B5" s="5">
        <v>46183.0</v>
      </c>
      <c r="K5" s="3"/>
    </row>
    <row r="6">
      <c r="K6" s="3"/>
    </row>
    <row r="7">
      <c r="A7" s="6" t="s">
        <v>8</v>
      </c>
      <c r="B7" s="6" t="s">
        <v>9</v>
      </c>
      <c r="C7" s="6" t="s">
        <v>10</v>
      </c>
      <c r="D7" s="6" t="s">
        <v>11</v>
      </c>
      <c r="E7" s="6" t="s">
        <v>12</v>
      </c>
      <c r="F7" s="6" t="s">
        <v>13</v>
      </c>
      <c r="G7" s="7" t="s">
        <v>14</v>
      </c>
      <c r="H7" s="6" t="s">
        <v>15</v>
      </c>
      <c r="I7" s="6" t="s">
        <v>16</v>
      </c>
      <c r="J7" s="6" t="s">
        <v>17</v>
      </c>
      <c r="K7" s="8" t="s">
        <v>18</v>
      </c>
      <c r="L7" s="6" t="s">
        <v>19</v>
      </c>
      <c r="M7" s="6" t="s">
        <v>20</v>
      </c>
      <c r="N7" s="6" t="s">
        <v>21</v>
      </c>
    </row>
    <row r="8">
      <c r="A8" s="4">
        <v>1.0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26</v>
      </c>
      <c r="G8" s="9" t="s">
        <v>27</v>
      </c>
      <c r="H8" s="4" t="s">
        <v>28</v>
      </c>
      <c r="I8" s="4" t="s">
        <v>29</v>
      </c>
      <c r="J8" s="4" t="s">
        <v>30</v>
      </c>
      <c r="K8" s="10" t="s">
        <v>31</v>
      </c>
      <c r="L8" s="4" t="s">
        <v>32</v>
      </c>
    </row>
    <row r="9">
      <c r="A9" s="4">
        <v>2.0</v>
      </c>
      <c r="B9" s="4" t="s">
        <v>33</v>
      </c>
      <c r="C9" s="4" t="s">
        <v>23</v>
      </c>
      <c r="D9" s="4" t="s">
        <v>34</v>
      </c>
      <c r="E9" s="4" t="s">
        <v>25</v>
      </c>
      <c r="F9" s="4" t="s">
        <v>26</v>
      </c>
      <c r="G9" s="11" t="s">
        <v>35</v>
      </c>
      <c r="H9" s="4" t="s">
        <v>36</v>
      </c>
      <c r="I9" s="4" t="s">
        <v>37</v>
      </c>
      <c r="J9" s="4" t="s">
        <v>38</v>
      </c>
      <c r="K9" s="10" t="s">
        <v>39</v>
      </c>
      <c r="L9" s="4" t="s">
        <v>32</v>
      </c>
    </row>
    <row r="10">
      <c r="A10" s="4">
        <v>3.0</v>
      </c>
      <c r="B10" s="4" t="s">
        <v>40</v>
      </c>
      <c r="C10" s="4" t="s">
        <v>23</v>
      </c>
      <c r="D10" s="4" t="s">
        <v>41</v>
      </c>
      <c r="E10" s="4" t="s">
        <v>42</v>
      </c>
      <c r="F10" s="4" t="s">
        <v>43</v>
      </c>
      <c r="G10" s="4" t="s">
        <v>44</v>
      </c>
      <c r="H10" s="4" t="s">
        <v>45</v>
      </c>
      <c r="I10" s="4" t="s">
        <v>46</v>
      </c>
      <c r="J10" s="4" t="s">
        <v>47</v>
      </c>
      <c r="K10" s="10" t="s">
        <v>48</v>
      </c>
      <c r="L10" s="4" t="s">
        <v>32</v>
      </c>
    </row>
    <row r="11">
      <c r="A11" s="4">
        <v>4.0</v>
      </c>
      <c r="B11" s="4" t="s">
        <v>49</v>
      </c>
      <c r="C11" s="4" t="s">
        <v>23</v>
      </c>
      <c r="D11" s="4" t="s">
        <v>50</v>
      </c>
      <c r="E11" s="4" t="s">
        <v>42</v>
      </c>
      <c r="F11" s="4" t="s">
        <v>43</v>
      </c>
      <c r="G11" s="4" t="s">
        <v>44</v>
      </c>
      <c r="H11" s="4" t="s">
        <v>51</v>
      </c>
      <c r="I11" s="4" t="s">
        <v>52</v>
      </c>
      <c r="J11" s="4" t="s">
        <v>53</v>
      </c>
      <c r="K11" s="10" t="s">
        <v>54</v>
      </c>
      <c r="L11" s="4" t="s">
        <v>32</v>
      </c>
    </row>
    <row r="12">
      <c r="A12" s="4">
        <v>5.0</v>
      </c>
      <c r="B12" s="4" t="s">
        <v>55</v>
      </c>
      <c r="C12" s="4" t="s">
        <v>23</v>
      </c>
      <c r="D12" s="4" t="s">
        <v>56</v>
      </c>
      <c r="E12" s="4" t="s">
        <v>42</v>
      </c>
      <c r="F12" s="4" t="s">
        <v>43</v>
      </c>
      <c r="G12" s="4" t="s">
        <v>44</v>
      </c>
      <c r="H12" s="4" t="s">
        <v>57</v>
      </c>
      <c r="I12" s="4" t="s">
        <v>58</v>
      </c>
      <c r="J12" s="4" t="s">
        <v>59</v>
      </c>
      <c r="K12" s="10" t="s">
        <v>60</v>
      </c>
      <c r="L12" s="4" t="s">
        <v>32</v>
      </c>
    </row>
    <row r="13">
      <c r="A13" s="4">
        <v>6.0</v>
      </c>
      <c r="B13" s="4" t="s">
        <v>61</v>
      </c>
      <c r="C13" s="4" t="s">
        <v>23</v>
      </c>
      <c r="D13" s="4" t="s">
        <v>62</v>
      </c>
      <c r="E13" s="4" t="s">
        <v>42</v>
      </c>
      <c r="F13" s="4" t="s">
        <v>63</v>
      </c>
      <c r="G13" s="4" t="s">
        <v>44</v>
      </c>
      <c r="H13" s="4" t="s">
        <v>64</v>
      </c>
      <c r="I13" s="4" t="s">
        <v>65</v>
      </c>
      <c r="J13" s="4" t="s">
        <v>66</v>
      </c>
      <c r="K13" s="10" t="s">
        <v>67</v>
      </c>
      <c r="L13" s="4" t="s">
        <v>32</v>
      </c>
    </row>
    <row r="14">
      <c r="A14" s="4">
        <v>7.0</v>
      </c>
      <c r="B14" s="4" t="s">
        <v>68</v>
      </c>
      <c r="C14" s="4" t="s">
        <v>23</v>
      </c>
      <c r="D14" s="4" t="s">
        <v>69</v>
      </c>
      <c r="E14" s="4" t="s">
        <v>42</v>
      </c>
      <c r="F14" s="4" t="s">
        <v>63</v>
      </c>
      <c r="G14" s="4" t="s">
        <v>44</v>
      </c>
      <c r="H14" s="4" t="s">
        <v>70</v>
      </c>
      <c r="I14" s="4" t="s">
        <v>71</v>
      </c>
      <c r="J14" s="4" t="s">
        <v>72</v>
      </c>
      <c r="K14" s="10" t="s">
        <v>73</v>
      </c>
      <c r="L14" s="4" t="s">
        <v>32</v>
      </c>
    </row>
    <row r="15">
      <c r="A15" s="4">
        <v>8.0</v>
      </c>
      <c r="B15" s="4" t="s">
        <v>74</v>
      </c>
      <c r="C15" s="4" t="s">
        <v>23</v>
      </c>
      <c r="D15" s="4" t="s">
        <v>75</v>
      </c>
      <c r="E15" s="4" t="s">
        <v>76</v>
      </c>
      <c r="F15" s="4" t="s">
        <v>63</v>
      </c>
      <c r="G15" s="4" t="s">
        <v>44</v>
      </c>
      <c r="H15" s="4" t="s">
        <v>77</v>
      </c>
      <c r="I15" s="4" t="s">
        <v>78</v>
      </c>
      <c r="J15" s="4" t="s">
        <v>79</v>
      </c>
      <c r="K15" s="10" t="s">
        <v>80</v>
      </c>
      <c r="L15" s="4" t="s">
        <v>81</v>
      </c>
      <c r="M15" s="9" t="s">
        <v>82</v>
      </c>
      <c r="N15" s="12" t="s">
        <v>83</v>
      </c>
    </row>
    <row r="16">
      <c r="A16" s="4">
        <v>9.0</v>
      </c>
      <c r="B16" s="4" t="s">
        <v>84</v>
      </c>
      <c r="C16" s="4" t="s">
        <v>23</v>
      </c>
      <c r="D16" s="4" t="s">
        <v>85</v>
      </c>
      <c r="E16" s="4" t="s">
        <v>76</v>
      </c>
      <c r="F16" s="4" t="s">
        <v>63</v>
      </c>
      <c r="G16" s="4" t="s">
        <v>44</v>
      </c>
      <c r="H16" s="4" t="s">
        <v>86</v>
      </c>
      <c r="I16" s="4" t="s">
        <v>87</v>
      </c>
      <c r="J16" s="4" t="s">
        <v>88</v>
      </c>
      <c r="K16" s="10" t="s">
        <v>89</v>
      </c>
      <c r="L16" s="4" t="s">
        <v>32</v>
      </c>
    </row>
    <row r="17">
      <c r="A17" s="4">
        <v>10.0</v>
      </c>
      <c r="B17" s="4" t="s">
        <v>90</v>
      </c>
      <c r="C17" s="4" t="s">
        <v>23</v>
      </c>
      <c r="D17" s="4" t="s">
        <v>91</v>
      </c>
      <c r="E17" s="4" t="s">
        <v>25</v>
      </c>
      <c r="F17" s="4" t="s">
        <v>63</v>
      </c>
      <c r="G17" s="4" t="s">
        <v>44</v>
      </c>
      <c r="H17" s="4" t="s">
        <v>92</v>
      </c>
      <c r="I17" s="4" t="s">
        <v>93</v>
      </c>
      <c r="J17" s="4" t="s">
        <v>94</v>
      </c>
      <c r="K17" s="10" t="s">
        <v>95</v>
      </c>
      <c r="L17" s="4" t="s">
        <v>32</v>
      </c>
    </row>
    <row r="18">
      <c r="A18" s="4">
        <v>11.0</v>
      </c>
      <c r="B18" s="4" t="s">
        <v>96</v>
      </c>
      <c r="C18" s="4" t="s">
        <v>23</v>
      </c>
      <c r="D18" s="4" t="s">
        <v>97</v>
      </c>
      <c r="E18" s="4" t="s">
        <v>25</v>
      </c>
      <c r="F18" s="4" t="s">
        <v>63</v>
      </c>
      <c r="G18" s="4" t="s">
        <v>44</v>
      </c>
      <c r="H18" s="4" t="s">
        <v>98</v>
      </c>
      <c r="J18" s="4" t="s">
        <v>99</v>
      </c>
      <c r="K18" s="10" t="s">
        <v>100</v>
      </c>
      <c r="L18" s="4" t="s">
        <v>32</v>
      </c>
    </row>
    <row r="19">
      <c r="A19" s="4">
        <v>12.0</v>
      </c>
      <c r="B19" s="4" t="s">
        <v>101</v>
      </c>
      <c r="C19" s="4" t="s">
        <v>23</v>
      </c>
      <c r="D19" s="13" t="s">
        <v>102</v>
      </c>
      <c r="E19" s="4" t="s">
        <v>42</v>
      </c>
      <c r="F19" s="4" t="s">
        <v>26</v>
      </c>
      <c r="G19" s="4" t="s">
        <v>103</v>
      </c>
      <c r="H19" s="4" t="s">
        <v>104</v>
      </c>
      <c r="J19" s="4" t="s">
        <v>105</v>
      </c>
      <c r="K19" s="10" t="s">
        <v>106</v>
      </c>
      <c r="L19" s="4" t="s">
        <v>81</v>
      </c>
      <c r="M19" s="9" t="s">
        <v>107</v>
      </c>
    </row>
    <row r="20">
      <c r="A20" s="4">
        <v>13.0</v>
      </c>
      <c r="B20" s="4" t="s">
        <v>108</v>
      </c>
      <c r="C20" s="4" t="s">
        <v>109</v>
      </c>
      <c r="D20" s="4" t="s">
        <v>110</v>
      </c>
      <c r="E20" s="4" t="s">
        <v>25</v>
      </c>
      <c r="F20" s="4" t="s">
        <v>26</v>
      </c>
      <c r="G20" s="4" t="s">
        <v>111</v>
      </c>
      <c r="H20" s="4" t="s">
        <v>112</v>
      </c>
      <c r="I20" s="4" t="s">
        <v>113</v>
      </c>
      <c r="J20" s="4" t="s">
        <v>114</v>
      </c>
      <c r="K20" s="10" t="s">
        <v>115</v>
      </c>
      <c r="L20" s="14" t="s">
        <v>32</v>
      </c>
      <c r="N20" s="15" t="s">
        <v>116</v>
      </c>
    </row>
    <row r="21">
      <c r="A21" s="4">
        <v>14.0</v>
      </c>
      <c r="B21" s="4" t="s">
        <v>117</v>
      </c>
      <c r="C21" s="4" t="s">
        <v>109</v>
      </c>
      <c r="D21" s="4" t="s">
        <v>118</v>
      </c>
      <c r="E21" s="4" t="s">
        <v>42</v>
      </c>
      <c r="F21" s="4" t="s">
        <v>26</v>
      </c>
      <c r="G21" s="4" t="s">
        <v>119</v>
      </c>
      <c r="H21" s="4" t="s">
        <v>120</v>
      </c>
      <c r="I21" s="4" t="s">
        <v>121</v>
      </c>
      <c r="J21" s="4" t="s">
        <v>122</v>
      </c>
      <c r="K21" s="10" t="s">
        <v>123</v>
      </c>
      <c r="L21" s="14" t="s">
        <v>32</v>
      </c>
    </row>
    <row r="22">
      <c r="A22" s="4">
        <v>15.0</v>
      </c>
      <c r="B22" s="4" t="s">
        <v>124</v>
      </c>
      <c r="C22" s="4" t="s">
        <v>109</v>
      </c>
      <c r="D22" s="4" t="s">
        <v>125</v>
      </c>
      <c r="E22" s="4" t="s">
        <v>42</v>
      </c>
      <c r="F22" s="4" t="s">
        <v>26</v>
      </c>
      <c r="G22" s="4" t="s">
        <v>119</v>
      </c>
      <c r="H22" s="4" t="s">
        <v>126</v>
      </c>
      <c r="I22" s="4" t="s">
        <v>127</v>
      </c>
      <c r="J22" s="4" t="s">
        <v>128</v>
      </c>
      <c r="K22" s="10" t="s">
        <v>129</v>
      </c>
      <c r="L22" s="14" t="s">
        <v>32</v>
      </c>
    </row>
    <row r="23">
      <c r="A23" s="4">
        <v>16.0</v>
      </c>
      <c r="B23" s="4" t="s">
        <v>130</v>
      </c>
      <c r="C23" s="4" t="s">
        <v>109</v>
      </c>
      <c r="D23" s="4" t="s">
        <v>131</v>
      </c>
      <c r="E23" s="4" t="s">
        <v>25</v>
      </c>
      <c r="F23" s="4" t="s">
        <v>26</v>
      </c>
      <c r="G23" s="4" t="s">
        <v>119</v>
      </c>
      <c r="H23" s="4" t="s">
        <v>132</v>
      </c>
      <c r="J23" s="4" t="s">
        <v>133</v>
      </c>
      <c r="K23" s="10" t="s">
        <v>134</v>
      </c>
      <c r="L23" s="14" t="s">
        <v>81</v>
      </c>
      <c r="M23" s="9" t="s">
        <v>135</v>
      </c>
    </row>
    <row r="24">
      <c r="A24" s="4">
        <v>17.0</v>
      </c>
      <c r="B24" s="4" t="s">
        <v>136</v>
      </c>
      <c r="C24" s="4" t="s">
        <v>109</v>
      </c>
      <c r="D24" s="16" t="s">
        <v>137</v>
      </c>
      <c r="E24" s="4" t="s">
        <v>25</v>
      </c>
      <c r="F24" s="4" t="s">
        <v>26</v>
      </c>
      <c r="G24" s="17" t="s">
        <v>138</v>
      </c>
      <c r="H24" s="4" t="s">
        <v>139</v>
      </c>
      <c r="I24" s="17" t="s">
        <v>140</v>
      </c>
      <c r="J24" s="4" t="s">
        <v>141</v>
      </c>
      <c r="K24" s="10" t="s">
        <v>142</v>
      </c>
      <c r="L24" s="14" t="s">
        <v>32</v>
      </c>
    </row>
    <row r="25">
      <c r="A25" s="4">
        <v>18.0</v>
      </c>
      <c r="B25" s="4" t="s">
        <v>143</v>
      </c>
      <c r="C25" s="4" t="s">
        <v>109</v>
      </c>
      <c r="D25" s="4" t="s">
        <v>144</v>
      </c>
      <c r="E25" s="4" t="s">
        <v>145</v>
      </c>
      <c r="F25" s="4" t="s">
        <v>26</v>
      </c>
      <c r="G25" s="18" t="s">
        <v>146</v>
      </c>
      <c r="H25" s="18" t="s">
        <v>147</v>
      </c>
      <c r="I25" s="18" t="s">
        <v>148</v>
      </c>
      <c r="J25" s="18" t="s">
        <v>149</v>
      </c>
      <c r="K25" s="10" t="s">
        <v>150</v>
      </c>
      <c r="L25" s="14" t="s">
        <v>32</v>
      </c>
    </row>
    <row r="26">
      <c r="A26" s="4">
        <v>19.0</v>
      </c>
      <c r="B26" s="4" t="s">
        <v>151</v>
      </c>
      <c r="C26" s="4" t="s">
        <v>109</v>
      </c>
      <c r="D26" s="4" t="s">
        <v>152</v>
      </c>
      <c r="E26" s="4" t="s">
        <v>145</v>
      </c>
      <c r="F26" s="4" t="s">
        <v>63</v>
      </c>
      <c r="G26" s="18" t="s">
        <v>153</v>
      </c>
      <c r="H26" s="18" t="s">
        <v>154</v>
      </c>
      <c r="I26" s="4" t="s">
        <v>155</v>
      </c>
      <c r="J26" s="4" t="s">
        <v>156</v>
      </c>
      <c r="K26" s="10" t="s">
        <v>157</v>
      </c>
      <c r="L26" s="14" t="s">
        <v>32</v>
      </c>
    </row>
    <row r="27">
      <c r="A27" s="4">
        <v>20.0</v>
      </c>
      <c r="B27" s="4" t="s">
        <v>158</v>
      </c>
      <c r="C27" s="4" t="s">
        <v>109</v>
      </c>
      <c r="D27" s="4" t="s">
        <v>159</v>
      </c>
      <c r="E27" s="4" t="s">
        <v>145</v>
      </c>
      <c r="F27" s="4" t="s">
        <v>63</v>
      </c>
      <c r="G27" s="18" t="s">
        <v>153</v>
      </c>
      <c r="H27" s="18" t="s">
        <v>160</v>
      </c>
      <c r="I27" s="4" t="s">
        <v>161</v>
      </c>
      <c r="J27" s="18" t="s">
        <v>162</v>
      </c>
      <c r="K27" s="10" t="s">
        <v>163</v>
      </c>
      <c r="L27" s="14" t="s">
        <v>32</v>
      </c>
    </row>
    <row r="28">
      <c r="A28" s="4">
        <v>21.0</v>
      </c>
      <c r="B28" s="4" t="s">
        <v>164</v>
      </c>
      <c r="C28" s="4" t="s">
        <v>109</v>
      </c>
      <c r="D28" s="14" t="s">
        <v>165</v>
      </c>
      <c r="E28" s="4" t="s">
        <v>42</v>
      </c>
      <c r="F28" s="4" t="s">
        <v>63</v>
      </c>
      <c r="G28" s="18" t="s">
        <v>166</v>
      </c>
      <c r="H28" s="18" t="s">
        <v>167</v>
      </c>
      <c r="I28" s="4" t="s">
        <v>168</v>
      </c>
      <c r="J28" s="4" t="s">
        <v>169</v>
      </c>
      <c r="K28" s="10" t="s">
        <v>170</v>
      </c>
      <c r="L28" s="14" t="s">
        <v>32</v>
      </c>
    </row>
    <row r="29">
      <c r="A29" s="4">
        <v>22.0</v>
      </c>
      <c r="B29" s="4" t="s">
        <v>171</v>
      </c>
      <c r="C29" s="4" t="s">
        <v>109</v>
      </c>
      <c r="D29" s="4" t="s">
        <v>172</v>
      </c>
      <c r="E29" s="4" t="s">
        <v>145</v>
      </c>
      <c r="F29" s="4" t="s">
        <v>63</v>
      </c>
      <c r="G29" s="18" t="s">
        <v>173</v>
      </c>
      <c r="H29" s="4" t="s">
        <v>174</v>
      </c>
      <c r="I29" s="10" t="s">
        <v>175</v>
      </c>
      <c r="J29" s="4" t="s">
        <v>176</v>
      </c>
      <c r="K29" s="10" t="s">
        <v>177</v>
      </c>
      <c r="L29" s="14" t="s">
        <v>32</v>
      </c>
    </row>
    <row r="30">
      <c r="A30" s="4">
        <v>23.0</v>
      </c>
      <c r="B30" s="4" t="s">
        <v>178</v>
      </c>
      <c r="C30" s="4" t="s">
        <v>109</v>
      </c>
      <c r="D30" s="4" t="s">
        <v>179</v>
      </c>
      <c r="E30" s="4" t="s">
        <v>76</v>
      </c>
      <c r="F30" s="4" t="s">
        <v>63</v>
      </c>
      <c r="G30" s="4" t="s">
        <v>180</v>
      </c>
      <c r="H30" s="4" t="s">
        <v>181</v>
      </c>
      <c r="I30" s="4" t="s">
        <v>182</v>
      </c>
      <c r="J30" s="4" t="s">
        <v>183</v>
      </c>
      <c r="K30" s="10" t="s">
        <v>184</v>
      </c>
      <c r="L30" s="14" t="s">
        <v>32</v>
      </c>
      <c r="N30" s="10" t="s">
        <v>185</v>
      </c>
    </row>
    <row r="31">
      <c r="A31" s="4">
        <v>24.0</v>
      </c>
      <c r="B31" s="4" t="s">
        <v>186</v>
      </c>
      <c r="C31" s="4" t="s">
        <v>109</v>
      </c>
      <c r="D31" s="16" t="s">
        <v>187</v>
      </c>
      <c r="E31" s="4" t="s">
        <v>145</v>
      </c>
      <c r="F31" s="4" t="s">
        <v>26</v>
      </c>
      <c r="G31" s="4" t="s">
        <v>188</v>
      </c>
      <c r="H31" s="4" t="s">
        <v>189</v>
      </c>
      <c r="I31" s="4" t="s">
        <v>190</v>
      </c>
      <c r="J31" s="4" t="s">
        <v>191</v>
      </c>
      <c r="K31" s="10" t="s">
        <v>192</v>
      </c>
      <c r="L31" s="14" t="s">
        <v>32</v>
      </c>
    </row>
    <row r="32">
      <c r="A32" s="4">
        <v>25.0</v>
      </c>
      <c r="B32" s="4" t="s">
        <v>193</v>
      </c>
      <c r="C32" s="4" t="s">
        <v>109</v>
      </c>
      <c r="D32" s="4" t="s">
        <v>194</v>
      </c>
      <c r="E32" s="4" t="s">
        <v>145</v>
      </c>
      <c r="F32" s="4" t="s">
        <v>26</v>
      </c>
      <c r="G32" s="4" t="s">
        <v>188</v>
      </c>
      <c r="H32" s="4" t="s">
        <v>195</v>
      </c>
      <c r="I32" s="10" t="s">
        <v>196</v>
      </c>
      <c r="J32" s="4" t="s">
        <v>197</v>
      </c>
      <c r="K32" s="10" t="s">
        <v>198</v>
      </c>
      <c r="L32" s="14" t="s">
        <v>32</v>
      </c>
    </row>
    <row r="33">
      <c r="A33" s="4">
        <v>26.0</v>
      </c>
      <c r="B33" s="4" t="s">
        <v>199</v>
      </c>
      <c r="C33" s="4" t="s">
        <v>109</v>
      </c>
      <c r="D33" s="4" t="s">
        <v>200</v>
      </c>
      <c r="E33" s="4" t="s">
        <v>201</v>
      </c>
      <c r="F33" s="4" t="s">
        <v>26</v>
      </c>
      <c r="G33" s="4" t="s">
        <v>202</v>
      </c>
      <c r="H33" s="4" t="s">
        <v>203</v>
      </c>
      <c r="I33" s="10" t="s">
        <v>204</v>
      </c>
      <c r="J33" s="4" t="s">
        <v>205</v>
      </c>
      <c r="K33" s="10" t="s">
        <v>206</v>
      </c>
      <c r="L33" s="14" t="s">
        <v>32</v>
      </c>
    </row>
    <row r="34">
      <c r="A34" s="4">
        <v>27.0</v>
      </c>
      <c r="B34" s="4" t="s">
        <v>207</v>
      </c>
      <c r="C34" s="4" t="s">
        <v>109</v>
      </c>
      <c r="D34" s="16" t="s">
        <v>208</v>
      </c>
      <c r="E34" s="4" t="s">
        <v>201</v>
      </c>
      <c r="F34" s="4" t="s">
        <v>26</v>
      </c>
      <c r="G34" s="4" t="s">
        <v>209</v>
      </c>
      <c r="H34" s="4" t="s">
        <v>210</v>
      </c>
      <c r="I34" s="4" t="s">
        <v>211</v>
      </c>
      <c r="J34" s="4" t="s">
        <v>212</v>
      </c>
      <c r="K34" s="10" t="s">
        <v>213</v>
      </c>
      <c r="L34" s="14" t="s">
        <v>32</v>
      </c>
    </row>
    <row r="35">
      <c r="A35" s="4">
        <v>28.0</v>
      </c>
      <c r="B35" s="4" t="s">
        <v>214</v>
      </c>
      <c r="C35" s="4" t="s">
        <v>215</v>
      </c>
      <c r="D35" s="4" t="s">
        <v>216</v>
      </c>
      <c r="E35" s="4" t="s">
        <v>145</v>
      </c>
      <c r="F35" s="4" t="s">
        <v>43</v>
      </c>
      <c r="G35" s="4" t="s">
        <v>217</v>
      </c>
      <c r="H35" s="4" t="s">
        <v>218</v>
      </c>
      <c r="I35" s="18" t="s">
        <v>219</v>
      </c>
      <c r="J35" s="4" t="s">
        <v>220</v>
      </c>
      <c r="K35" s="10" t="s">
        <v>221</v>
      </c>
      <c r="L35" s="14" t="s">
        <v>32</v>
      </c>
    </row>
    <row r="36">
      <c r="A36" s="4">
        <v>29.0</v>
      </c>
      <c r="B36" s="4" t="s">
        <v>222</v>
      </c>
      <c r="C36" s="4" t="s">
        <v>215</v>
      </c>
      <c r="D36" s="4" t="s">
        <v>223</v>
      </c>
      <c r="E36" s="4" t="s">
        <v>145</v>
      </c>
      <c r="F36" s="4" t="s">
        <v>43</v>
      </c>
      <c r="G36" s="4" t="s">
        <v>224</v>
      </c>
      <c r="H36" s="4" t="s">
        <v>225</v>
      </c>
      <c r="I36" s="4" t="s">
        <v>226</v>
      </c>
      <c r="J36" s="4" t="s">
        <v>227</v>
      </c>
      <c r="K36" s="10" t="s">
        <v>228</v>
      </c>
      <c r="L36" s="14" t="s">
        <v>32</v>
      </c>
    </row>
    <row r="37">
      <c r="A37" s="4">
        <v>30.0</v>
      </c>
      <c r="B37" s="4" t="s">
        <v>229</v>
      </c>
      <c r="C37" s="4" t="s">
        <v>215</v>
      </c>
      <c r="D37" s="4" t="s">
        <v>230</v>
      </c>
      <c r="E37" s="4" t="s">
        <v>145</v>
      </c>
      <c r="F37" s="4" t="s">
        <v>43</v>
      </c>
      <c r="G37" s="18" t="s">
        <v>231</v>
      </c>
      <c r="H37" s="4" t="s">
        <v>232</v>
      </c>
      <c r="I37" s="4" t="s">
        <v>233</v>
      </c>
      <c r="J37" s="18" t="s">
        <v>234</v>
      </c>
      <c r="K37" s="10" t="s">
        <v>235</v>
      </c>
      <c r="L37" s="14" t="s">
        <v>32</v>
      </c>
    </row>
    <row r="38">
      <c r="A38" s="4">
        <v>31.0</v>
      </c>
      <c r="B38" s="4" t="s">
        <v>236</v>
      </c>
      <c r="C38" s="4" t="s">
        <v>215</v>
      </c>
      <c r="D38" s="4" t="s">
        <v>237</v>
      </c>
      <c r="E38" s="4" t="s">
        <v>76</v>
      </c>
      <c r="F38" s="4" t="s">
        <v>63</v>
      </c>
      <c r="G38" s="18" t="s">
        <v>231</v>
      </c>
      <c r="H38" s="4" t="s">
        <v>238</v>
      </c>
      <c r="I38" s="4" t="s">
        <v>239</v>
      </c>
      <c r="J38" s="10" t="s">
        <v>240</v>
      </c>
      <c r="K38" s="10" t="s">
        <v>241</v>
      </c>
      <c r="L38" s="14" t="s">
        <v>32</v>
      </c>
    </row>
    <row r="39">
      <c r="A39" s="4">
        <v>32.0</v>
      </c>
      <c r="B39" s="4" t="s">
        <v>242</v>
      </c>
      <c r="C39" s="4" t="s">
        <v>215</v>
      </c>
      <c r="D39" s="4" t="s">
        <v>243</v>
      </c>
      <c r="E39" s="4" t="s">
        <v>42</v>
      </c>
      <c r="F39" s="4" t="s">
        <v>26</v>
      </c>
      <c r="G39" s="18" t="s">
        <v>244</v>
      </c>
      <c r="H39" s="18" t="s">
        <v>245</v>
      </c>
      <c r="I39" s="4" t="s">
        <v>246</v>
      </c>
      <c r="J39" s="18" t="s">
        <v>247</v>
      </c>
      <c r="K39" s="10" t="s">
        <v>248</v>
      </c>
      <c r="L39" s="14" t="s">
        <v>32</v>
      </c>
    </row>
    <row r="40">
      <c r="A40" s="4">
        <v>33.0</v>
      </c>
      <c r="B40" s="4" t="s">
        <v>249</v>
      </c>
      <c r="C40" s="4" t="s">
        <v>215</v>
      </c>
      <c r="D40" s="4" t="s">
        <v>250</v>
      </c>
      <c r="E40" s="4" t="s">
        <v>76</v>
      </c>
      <c r="F40" s="4" t="s">
        <v>63</v>
      </c>
      <c r="G40" s="18" t="s">
        <v>231</v>
      </c>
      <c r="H40" s="18" t="s">
        <v>251</v>
      </c>
      <c r="I40" s="18" t="s">
        <v>252</v>
      </c>
      <c r="J40" s="18" t="s">
        <v>253</v>
      </c>
      <c r="K40" s="10" t="s">
        <v>254</v>
      </c>
      <c r="L40" s="14" t="s">
        <v>32</v>
      </c>
    </row>
    <row r="41">
      <c r="A41" s="4">
        <v>34.0</v>
      </c>
      <c r="B41" s="4" t="s">
        <v>255</v>
      </c>
      <c r="C41" s="4" t="s">
        <v>215</v>
      </c>
      <c r="D41" s="16" t="s">
        <v>256</v>
      </c>
      <c r="E41" s="4" t="s">
        <v>76</v>
      </c>
      <c r="F41" s="4" t="s">
        <v>63</v>
      </c>
      <c r="G41" s="14" t="s">
        <v>257</v>
      </c>
      <c r="H41" s="18" t="s">
        <v>258</v>
      </c>
      <c r="I41" s="18" t="s">
        <v>259</v>
      </c>
      <c r="J41" s="4" t="s">
        <v>260</v>
      </c>
      <c r="K41" s="10" t="s">
        <v>261</v>
      </c>
      <c r="L41" s="14" t="s">
        <v>32</v>
      </c>
    </row>
    <row r="42">
      <c r="A42" s="4">
        <v>35.0</v>
      </c>
      <c r="B42" s="4" t="s">
        <v>262</v>
      </c>
      <c r="C42" s="4" t="s">
        <v>215</v>
      </c>
      <c r="D42" s="4" t="s">
        <v>263</v>
      </c>
      <c r="E42" s="4" t="s">
        <v>42</v>
      </c>
      <c r="F42" s="4" t="s">
        <v>26</v>
      </c>
      <c r="G42" s="18" t="s">
        <v>264</v>
      </c>
      <c r="H42" s="18" t="s">
        <v>265</v>
      </c>
      <c r="I42" s="18" t="s">
        <v>266</v>
      </c>
      <c r="J42" s="4" t="s">
        <v>267</v>
      </c>
      <c r="K42" s="10" t="s">
        <v>268</v>
      </c>
      <c r="L42" s="14" t="s">
        <v>32</v>
      </c>
    </row>
    <row r="43">
      <c r="A43" s="4">
        <v>36.0</v>
      </c>
      <c r="B43" s="4" t="s">
        <v>269</v>
      </c>
      <c r="C43" s="4" t="s">
        <v>215</v>
      </c>
      <c r="D43" s="16" t="s">
        <v>270</v>
      </c>
      <c r="E43" s="4" t="s">
        <v>145</v>
      </c>
      <c r="F43" s="4" t="s">
        <v>26</v>
      </c>
      <c r="G43" s="18" t="s">
        <v>271</v>
      </c>
      <c r="H43" s="18" t="s">
        <v>272</v>
      </c>
      <c r="I43" s="18" t="s">
        <v>273</v>
      </c>
      <c r="J43" s="18" t="s">
        <v>274</v>
      </c>
      <c r="K43" s="10" t="s">
        <v>275</v>
      </c>
      <c r="L43" s="14" t="s">
        <v>32</v>
      </c>
    </row>
    <row r="44">
      <c r="A44" s="4">
        <v>37.0</v>
      </c>
      <c r="B44" s="4" t="s">
        <v>276</v>
      </c>
      <c r="C44" s="4" t="s">
        <v>215</v>
      </c>
      <c r="D44" s="18" t="s">
        <v>277</v>
      </c>
      <c r="E44" s="19" t="s">
        <v>42</v>
      </c>
      <c r="F44" s="19" t="s">
        <v>63</v>
      </c>
      <c r="G44" s="18" t="s">
        <v>278</v>
      </c>
      <c r="H44" s="18" t="s">
        <v>279</v>
      </c>
      <c r="I44" s="18" t="s">
        <v>280</v>
      </c>
      <c r="J44" s="18" t="s">
        <v>281</v>
      </c>
      <c r="K44" s="10" t="s">
        <v>282</v>
      </c>
      <c r="L44" s="14" t="s">
        <v>32</v>
      </c>
    </row>
    <row r="45">
      <c r="A45" s="20">
        <v>38.0</v>
      </c>
      <c r="B45" s="4" t="s">
        <v>283</v>
      </c>
      <c r="C45" s="4" t="s">
        <v>215</v>
      </c>
      <c r="D45" s="18" t="s">
        <v>284</v>
      </c>
      <c r="E45" s="21" t="s">
        <v>25</v>
      </c>
      <c r="F45" s="19" t="s">
        <v>26</v>
      </c>
      <c r="G45" s="18" t="s">
        <v>285</v>
      </c>
      <c r="H45" s="18" t="s">
        <v>286</v>
      </c>
      <c r="I45" s="18" t="s">
        <v>287</v>
      </c>
      <c r="J45" s="18" t="s">
        <v>288</v>
      </c>
      <c r="K45" s="10" t="s">
        <v>289</v>
      </c>
      <c r="L45" s="14" t="s">
        <v>32</v>
      </c>
    </row>
    <row r="46">
      <c r="A46" s="20">
        <v>39.0</v>
      </c>
      <c r="B46" s="4" t="s">
        <v>290</v>
      </c>
      <c r="C46" s="4" t="s">
        <v>215</v>
      </c>
      <c r="D46" s="18" t="s">
        <v>291</v>
      </c>
      <c r="E46" s="21" t="s">
        <v>25</v>
      </c>
      <c r="F46" s="19" t="s">
        <v>26</v>
      </c>
      <c r="G46" s="18" t="s">
        <v>292</v>
      </c>
      <c r="H46" s="18" t="s">
        <v>293</v>
      </c>
      <c r="I46" s="18" t="s">
        <v>294</v>
      </c>
      <c r="J46" s="18" t="s">
        <v>295</v>
      </c>
      <c r="K46" s="10" t="s">
        <v>296</v>
      </c>
      <c r="L46" s="14" t="s">
        <v>32</v>
      </c>
    </row>
    <row r="47">
      <c r="A47" s="20">
        <v>40.0</v>
      </c>
      <c r="B47" s="4" t="s">
        <v>297</v>
      </c>
      <c r="C47" s="4" t="s">
        <v>215</v>
      </c>
      <c r="D47" s="22" t="s">
        <v>298</v>
      </c>
      <c r="E47" s="21" t="s">
        <v>25</v>
      </c>
      <c r="F47" s="19" t="s">
        <v>63</v>
      </c>
      <c r="G47" s="18" t="s">
        <v>299</v>
      </c>
      <c r="H47" s="18" t="s">
        <v>300</v>
      </c>
      <c r="I47" s="18" t="s">
        <v>301</v>
      </c>
      <c r="J47" s="18" t="s">
        <v>302</v>
      </c>
      <c r="K47" s="10" t="s">
        <v>303</v>
      </c>
      <c r="L47" s="14" t="s">
        <v>32</v>
      </c>
    </row>
    <row r="48">
      <c r="A48" s="20">
        <v>41.0</v>
      </c>
      <c r="B48" s="4" t="s">
        <v>304</v>
      </c>
      <c r="C48" s="4" t="s">
        <v>215</v>
      </c>
      <c r="D48" s="18" t="s">
        <v>305</v>
      </c>
      <c r="E48" s="21" t="s">
        <v>306</v>
      </c>
      <c r="F48" s="19" t="s">
        <v>26</v>
      </c>
      <c r="G48" s="18" t="s">
        <v>307</v>
      </c>
      <c r="H48" s="18" t="s">
        <v>308</v>
      </c>
      <c r="I48" s="18" t="s">
        <v>309</v>
      </c>
      <c r="J48" s="18" t="s">
        <v>310</v>
      </c>
      <c r="K48" s="10" t="s">
        <v>311</v>
      </c>
      <c r="L48" s="14" t="s">
        <v>32</v>
      </c>
    </row>
    <row r="49">
      <c r="A49" s="20">
        <v>42.0</v>
      </c>
      <c r="B49" s="4" t="s">
        <v>312</v>
      </c>
      <c r="C49" s="4" t="s">
        <v>215</v>
      </c>
      <c r="D49" s="18" t="s">
        <v>313</v>
      </c>
      <c r="E49" s="21" t="s">
        <v>25</v>
      </c>
      <c r="F49" s="19" t="s">
        <v>314</v>
      </c>
      <c r="G49" s="18" t="s">
        <v>231</v>
      </c>
      <c r="H49" s="18" t="s">
        <v>315</v>
      </c>
      <c r="I49" s="18" t="s">
        <v>316</v>
      </c>
      <c r="J49" s="18" t="s">
        <v>317</v>
      </c>
      <c r="K49" s="10" t="s">
        <v>318</v>
      </c>
      <c r="L49" s="14" t="s">
        <v>32</v>
      </c>
    </row>
    <row r="50">
      <c r="A50" s="4">
        <v>43.0</v>
      </c>
      <c r="B50" s="4" t="s">
        <v>319</v>
      </c>
      <c r="C50" s="4" t="s">
        <v>320</v>
      </c>
      <c r="D50" s="4" t="s">
        <v>321</v>
      </c>
      <c r="E50" s="21" t="s">
        <v>25</v>
      </c>
      <c r="F50" s="23" t="s">
        <v>26</v>
      </c>
      <c r="G50" s="4" t="s">
        <v>322</v>
      </c>
      <c r="H50" s="4" t="s">
        <v>323</v>
      </c>
      <c r="I50" s="4" t="s">
        <v>324</v>
      </c>
      <c r="J50" s="4" t="s">
        <v>325</v>
      </c>
      <c r="K50" s="10" t="s">
        <v>326</v>
      </c>
      <c r="L50" s="4" t="s">
        <v>32</v>
      </c>
    </row>
    <row r="51">
      <c r="A51" s="4">
        <v>44.0</v>
      </c>
      <c r="B51" s="4" t="s">
        <v>327</v>
      </c>
      <c r="C51" s="4" t="s">
        <v>320</v>
      </c>
      <c r="D51" s="4" t="s">
        <v>328</v>
      </c>
      <c r="E51" s="21" t="s">
        <v>25</v>
      </c>
      <c r="F51" s="23" t="s">
        <v>26</v>
      </c>
      <c r="G51" s="4" t="s">
        <v>322</v>
      </c>
      <c r="H51" s="4" t="s">
        <v>329</v>
      </c>
      <c r="I51" s="4" t="s">
        <v>330</v>
      </c>
      <c r="J51" s="4" t="s">
        <v>331</v>
      </c>
      <c r="K51" s="10" t="s">
        <v>332</v>
      </c>
      <c r="L51" s="4" t="s">
        <v>32</v>
      </c>
    </row>
    <row r="52">
      <c r="A52" s="4">
        <v>45.0</v>
      </c>
      <c r="B52" s="4" t="s">
        <v>333</v>
      </c>
      <c r="C52" s="4" t="s">
        <v>320</v>
      </c>
      <c r="D52" s="4" t="s">
        <v>334</v>
      </c>
      <c r="E52" s="23" t="s">
        <v>42</v>
      </c>
      <c r="F52" s="23" t="s">
        <v>63</v>
      </c>
      <c r="G52" s="4" t="s">
        <v>322</v>
      </c>
      <c r="H52" s="4" t="s">
        <v>335</v>
      </c>
      <c r="I52" s="4" t="s">
        <v>336</v>
      </c>
      <c r="J52" s="4" t="s">
        <v>337</v>
      </c>
      <c r="K52" s="10" t="s">
        <v>338</v>
      </c>
      <c r="L52" s="4" t="s">
        <v>32</v>
      </c>
    </row>
    <row r="53">
      <c r="A53" s="4">
        <v>46.0</v>
      </c>
      <c r="B53" s="4" t="s">
        <v>339</v>
      </c>
      <c r="C53" s="4" t="s">
        <v>320</v>
      </c>
      <c r="D53" s="4" t="s">
        <v>340</v>
      </c>
      <c r="E53" s="24" t="s">
        <v>25</v>
      </c>
      <c r="F53" s="23" t="s">
        <v>63</v>
      </c>
      <c r="G53" s="4" t="s">
        <v>322</v>
      </c>
      <c r="H53" s="4" t="s">
        <v>341</v>
      </c>
      <c r="I53" s="4" t="s">
        <v>342</v>
      </c>
      <c r="J53" s="4" t="s">
        <v>343</v>
      </c>
      <c r="K53" s="10" t="s">
        <v>344</v>
      </c>
      <c r="L53" s="4" t="s">
        <v>32</v>
      </c>
    </row>
    <row r="54">
      <c r="A54" s="4">
        <v>47.0</v>
      </c>
      <c r="B54" s="4" t="s">
        <v>345</v>
      </c>
      <c r="C54" s="4" t="s">
        <v>320</v>
      </c>
      <c r="D54" s="4" t="s">
        <v>346</v>
      </c>
      <c r="E54" s="24" t="s">
        <v>145</v>
      </c>
      <c r="F54" s="23" t="s">
        <v>63</v>
      </c>
      <c r="G54" s="4" t="s">
        <v>322</v>
      </c>
      <c r="H54" s="4" t="s">
        <v>347</v>
      </c>
      <c r="I54" s="4" t="s">
        <v>348</v>
      </c>
      <c r="J54" s="4" t="s">
        <v>349</v>
      </c>
      <c r="K54" s="10" t="s">
        <v>350</v>
      </c>
      <c r="L54" s="4" t="s">
        <v>32</v>
      </c>
    </row>
    <row r="55">
      <c r="A55" s="4">
        <v>48.0</v>
      </c>
      <c r="B55" s="4" t="s">
        <v>351</v>
      </c>
      <c r="C55" s="4" t="s">
        <v>320</v>
      </c>
      <c r="D55" s="4" t="s">
        <v>352</v>
      </c>
      <c r="E55" s="23" t="s">
        <v>42</v>
      </c>
      <c r="F55" s="23" t="s">
        <v>63</v>
      </c>
      <c r="G55" s="4" t="s">
        <v>322</v>
      </c>
      <c r="H55" s="4" t="s">
        <v>353</v>
      </c>
      <c r="I55" s="4" t="s">
        <v>354</v>
      </c>
      <c r="J55" s="4" t="s">
        <v>355</v>
      </c>
      <c r="K55" s="10" t="s">
        <v>356</v>
      </c>
      <c r="L55" s="4" t="s">
        <v>32</v>
      </c>
    </row>
    <row r="56">
      <c r="A56" s="4">
        <v>49.0</v>
      </c>
      <c r="B56" s="4" t="s">
        <v>357</v>
      </c>
      <c r="C56" s="4" t="s">
        <v>320</v>
      </c>
      <c r="D56" s="4" t="s">
        <v>358</v>
      </c>
      <c r="E56" s="23" t="s">
        <v>145</v>
      </c>
      <c r="F56" s="23" t="s">
        <v>314</v>
      </c>
      <c r="G56" s="4" t="s">
        <v>322</v>
      </c>
      <c r="H56" s="4" t="s">
        <v>359</v>
      </c>
      <c r="J56" s="4" t="s">
        <v>360</v>
      </c>
      <c r="K56" s="10" t="s">
        <v>361</v>
      </c>
      <c r="L56" s="4" t="s">
        <v>32</v>
      </c>
    </row>
    <row r="57">
      <c r="A57" s="4">
        <v>50.0</v>
      </c>
      <c r="B57" s="4" t="s">
        <v>362</v>
      </c>
      <c r="C57" s="4" t="s">
        <v>320</v>
      </c>
      <c r="D57" s="4" t="s">
        <v>363</v>
      </c>
      <c r="E57" s="23" t="s">
        <v>145</v>
      </c>
      <c r="F57" s="23" t="s">
        <v>314</v>
      </c>
      <c r="G57" s="4" t="s">
        <v>322</v>
      </c>
      <c r="H57" s="4" t="s">
        <v>364</v>
      </c>
      <c r="J57" s="4" t="s">
        <v>365</v>
      </c>
      <c r="K57" s="10" t="s">
        <v>366</v>
      </c>
      <c r="L57" s="4" t="s">
        <v>32</v>
      </c>
    </row>
    <row r="58">
      <c r="K58" s="3"/>
      <c r="L58" s="25"/>
    </row>
    <row r="59">
      <c r="K59" s="3"/>
      <c r="L59" s="25"/>
    </row>
    <row r="60">
      <c r="K60" s="3"/>
      <c r="L60" s="25"/>
    </row>
    <row r="61">
      <c r="K61" s="3"/>
      <c r="L61" s="25"/>
    </row>
    <row r="62">
      <c r="K62" s="3"/>
      <c r="L62" s="25"/>
    </row>
    <row r="63">
      <c r="K63" s="3"/>
      <c r="L63" s="25"/>
    </row>
    <row r="64">
      <c r="K64" s="3"/>
      <c r="L64" s="25"/>
    </row>
    <row r="65">
      <c r="K65" s="3"/>
      <c r="L65" s="25"/>
    </row>
    <row r="66">
      <c r="K66" s="3"/>
      <c r="L66" s="25"/>
    </row>
    <row r="67">
      <c r="K67" s="3"/>
      <c r="L67" s="25"/>
    </row>
    <row r="68">
      <c r="K68" s="3"/>
      <c r="L68" s="25"/>
    </row>
    <row r="69">
      <c r="K69" s="3"/>
      <c r="L69" s="25"/>
    </row>
    <row r="70">
      <c r="K70" s="3"/>
      <c r="L70" s="25"/>
    </row>
    <row r="71">
      <c r="K71" s="3"/>
      <c r="L71" s="25"/>
    </row>
    <row r="72">
      <c r="K72" s="3"/>
      <c r="L72" s="25"/>
    </row>
    <row r="73">
      <c r="K73" s="3"/>
      <c r="L73" s="25"/>
    </row>
    <row r="74">
      <c r="K74" s="3"/>
      <c r="L74" s="25"/>
    </row>
    <row r="75">
      <c r="K75" s="3"/>
      <c r="L75" s="25"/>
    </row>
    <row r="76">
      <c r="K76" s="3"/>
      <c r="L76" s="25"/>
    </row>
    <row r="77">
      <c r="K77" s="3"/>
      <c r="L77" s="25"/>
    </row>
    <row r="78">
      <c r="K78" s="3"/>
      <c r="L78" s="25"/>
    </row>
    <row r="79">
      <c r="K79" s="3"/>
      <c r="L79" s="25"/>
    </row>
    <row r="80">
      <c r="K80" s="3"/>
      <c r="L80" s="25"/>
    </row>
    <row r="81">
      <c r="K81" s="3"/>
      <c r="L81" s="25"/>
    </row>
    <row r="82">
      <c r="K82" s="3"/>
      <c r="L82" s="25"/>
    </row>
    <row r="83">
      <c r="K83" s="3"/>
      <c r="L83" s="25"/>
    </row>
    <row r="84">
      <c r="K84" s="3"/>
      <c r="L84" s="25"/>
    </row>
    <row r="85">
      <c r="K85" s="3"/>
      <c r="L85" s="25"/>
    </row>
    <row r="86">
      <c r="K86" s="3"/>
      <c r="L86" s="25"/>
    </row>
    <row r="87">
      <c r="K87" s="3"/>
      <c r="L87" s="25"/>
    </row>
    <row r="88">
      <c r="K88" s="3"/>
      <c r="L88" s="25"/>
    </row>
    <row r="89">
      <c r="K89" s="3"/>
      <c r="L89" s="25"/>
    </row>
    <row r="90">
      <c r="K90" s="3"/>
      <c r="L90" s="25"/>
    </row>
    <row r="91">
      <c r="K91" s="3"/>
      <c r="L91" s="25"/>
    </row>
    <row r="92">
      <c r="K92" s="3"/>
      <c r="L92" s="25"/>
    </row>
    <row r="93">
      <c r="K93" s="3"/>
      <c r="L93" s="25"/>
    </row>
    <row r="94">
      <c r="K94" s="3"/>
      <c r="L94" s="25"/>
    </row>
    <row r="95">
      <c r="K95" s="3"/>
      <c r="L95" s="25"/>
    </row>
    <row r="96">
      <c r="K96" s="3"/>
      <c r="L96" s="25"/>
    </row>
    <row r="97">
      <c r="K97" s="3"/>
      <c r="L97" s="25"/>
    </row>
    <row r="98">
      <c r="K98" s="3"/>
      <c r="L98" s="25"/>
    </row>
    <row r="99">
      <c r="K99" s="3"/>
      <c r="L99" s="25"/>
    </row>
    <row r="100">
      <c r="K100" s="3"/>
      <c r="L100" s="25"/>
    </row>
    <row r="101">
      <c r="K101" s="3"/>
      <c r="L101" s="25"/>
    </row>
    <row r="102">
      <c r="K102" s="3"/>
      <c r="L102" s="25"/>
    </row>
    <row r="103">
      <c r="K103" s="3"/>
      <c r="L103" s="25"/>
    </row>
    <row r="104">
      <c r="K104" s="3"/>
      <c r="L104" s="25"/>
    </row>
    <row r="105">
      <c r="K105" s="3"/>
      <c r="L105" s="25"/>
    </row>
    <row r="106">
      <c r="K106" s="3"/>
      <c r="L106" s="25"/>
    </row>
    <row r="107">
      <c r="K107" s="3"/>
      <c r="L107" s="25"/>
    </row>
    <row r="108">
      <c r="K108" s="3"/>
      <c r="L108" s="25"/>
    </row>
    <row r="109">
      <c r="K109" s="3"/>
      <c r="L109" s="25"/>
    </row>
    <row r="110">
      <c r="K110" s="3"/>
      <c r="L110" s="25"/>
    </row>
    <row r="111">
      <c r="K111" s="3"/>
      <c r="L111" s="25"/>
    </row>
    <row r="112">
      <c r="K112" s="3"/>
      <c r="L112" s="25"/>
    </row>
    <row r="113">
      <c r="K113" s="3"/>
      <c r="L113" s="25"/>
    </row>
    <row r="114">
      <c r="K114" s="3"/>
      <c r="L114" s="25"/>
    </row>
    <row r="115">
      <c r="K115" s="3"/>
      <c r="L115" s="25"/>
    </row>
    <row r="116">
      <c r="K116" s="3"/>
      <c r="L116" s="25"/>
    </row>
    <row r="117">
      <c r="K117" s="3"/>
      <c r="L117" s="25"/>
    </row>
    <row r="118">
      <c r="K118" s="3"/>
      <c r="L118" s="25"/>
    </row>
    <row r="119">
      <c r="K119" s="3"/>
      <c r="L119" s="25"/>
    </row>
    <row r="120">
      <c r="K120" s="3"/>
      <c r="L120" s="25"/>
    </row>
    <row r="121">
      <c r="K121" s="3"/>
      <c r="L121" s="25"/>
    </row>
    <row r="122">
      <c r="K122" s="3"/>
      <c r="L122" s="25"/>
    </row>
    <row r="123">
      <c r="K123" s="3"/>
      <c r="L123" s="25"/>
    </row>
    <row r="124">
      <c r="K124" s="3"/>
      <c r="L124" s="25"/>
    </row>
    <row r="125">
      <c r="K125" s="3"/>
      <c r="L125" s="25"/>
    </row>
    <row r="126">
      <c r="K126" s="3"/>
      <c r="L126" s="25"/>
    </row>
    <row r="127">
      <c r="K127" s="3"/>
      <c r="L127" s="25"/>
    </row>
    <row r="128">
      <c r="K128" s="3"/>
      <c r="L128" s="25"/>
    </row>
    <row r="129">
      <c r="K129" s="3"/>
      <c r="L129" s="25"/>
    </row>
    <row r="130">
      <c r="K130" s="3"/>
      <c r="L130" s="25"/>
    </row>
    <row r="131">
      <c r="K131" s="3"/>
      <c r="L131" s="25"/>
    </row>
    <row r="132">
      <c r="K132" s="3"/>
      <c r="L132" s="25"/>
    </row>
    <row r="133">
      <c r="K133" s="3"/>
      <c r="L133" s="25"/>
    </row>
    <row r="134">
      <c r="K134" s="3"/>
      <c r="L134" s="25"/>
    </row>
    <row r="135">
      <c r="K135" s="3"/>
      <c r="L135" s="25"/>
    </row>
    <row r="136">
      <c r="K136" s="3"/>
      <c r="L136" s="25"/>
    </row>
    <row r="137">
      <c r="K137" s="3"/>
      <c r="L137" s="25"/>
    </row>
    <row r="138">
      <c r="K138" s="3"/>
      <c r="L138" s="25"/>
    </row>
    <row r="139">
      <c r="K139" s="3"/>
      <c r="L139" s="25"/>
    </row>
    <row r="140">
      <c r="K140" s="3"/>
      <c r="L140" s="25"/>
    </row>
    <row r="141">
      <c r="K141" s="3"/>
      <c r="L141" s="25"/>
    </row>
    <row r="142">
      <c r="K142" s="3"/>
      <c r="L142" s="25"/>
    </row>
    <row r="143">
      <c r="K143" s="3"/>
      <c r="L143" s="25"/>
    </row>
    <row r="144">
      <c r="K144" s="3"/>
      <c r="L144" s="25"/>
    </row>
    <row r="145">
      <c r="K145" s="3"/>
      <c r="L145" s="25"/>
    </row>
    <row r="146">
      <c r="K146" s="3"/>
      <c r="L146" s="25"/>
    </row>
    <row r="147">
      <c r="K147" s="3"/>
      <c r="L147" s="25"/>
    </row>
    <row r="148">
      <c r="K148" s="3"/>
      <c r="L148" s="25"/>
    </row>
    <row r="149">
      <c r="K149" s="3"/>
      <c r="L149" s="25"/>
    </row>
    <row r="150">
      <c r="K150" s="3"/>
      <c r="L150" s="25"/>
    </row>
    <row r="151">
      <c r="K151" s="3"/>
      <c r="L151" s="25"/>
    </row>
    <row r="152">
      <c r="K152" s="3"/>
      <c r="L152" s="25"/>
    </row>
    <row r="153">
      <c r="K153" s="3"/>
      <c r="L153" s="25"/>
    </row>
    <row r="154">
      <c r="K154" s="3"/>
      <c r="L154" s="25"/>
    </row>
    <row r="155">
      <c r="K155" s="3"/>
      <c r="L155" s="25"/>
    </row>
    <row r="156">
      <c r="K156" s="3"/>
      <c r="L156" s="25"/>
    </row>
    <row r="157">
      <c r="K157" s="3"/>
      <c r="L157" s="25"/>
    </row>
    <row r="158">
      <c r="K158" s="3"/>
      <c r="L158" s="25"/>
    </row>
    <row r="159">
      <c r="K159" s="3"/>
      <c r="L159" s="25"/>
    </row>
    <row r="160">
      <c r="K160" s="3"/>
      <c r="L160" s="25"/>
    </row>
    <row r="161">
      <c r="K161" s="3"/>
      <c r="L161" s="25"/>
    </row>
    <row r="162">
      <c r="K162" s="3"/>
      <c r="L162" s="25"/>
    </row>
    <row r="163">
      <c r="K163" s="3"/>
      <c r="L163" s="25"/>
    </row>
    <row r="164">
      <c r="K164" s="3"/>
      <c r="L164" s="25"/>
    </row>
    <row r="165">
      <c r="K165" s="3"/>
      <c r="L165" s="25"/>
    </row>
    <row r="166">
      <c r="K166" s="3"/>
      <c r="L166" s="25"/>
    </row>
    <row r="167">
      <c r="K167" s="3"/>
      <c r="L167" s="25"/>
    </row>
    <row r="168">
      <c r="K168" s="3"/>
      <c r="L168" s="25"/>
    </row>
    <row r="169">
      <c r="K169" s="3"/>
      <c r="L169" s="25"/>
    </row>
    <row r="170">
      <c r="K170" s="3"/>
      <c r="L170" s="25"/>
    </row>
    <row r="171">
      <c r="K171" s="3"/>
      <c r="L171" s="25"/>
    </row>
    <row r="172">
      <c r="K172" s="3"/>
      <c r="L172" s="25"/>
    </row>
    <row r="173">
      <c r="K173" s="3"/>
      <c r="L173" s="25"/>
    </row>
    <row r="174">
      <c r="K174" s="3"/>
      <c r="L174" s="25"/>
    </row>
    <row r="175">
      <c r="K175" s="3"/>
      <c r="L175" s="25"/>
    </row>
    <row r="176">
      <c r="K176" s="3"/>
      <c r="L176" s="25"/>
    </row>
    <row r="177">
      <c r="K177" s="3"/>
      <c r="L177" s="25"/>
    </row>
    <row r="178">
      <c r="K178" s="3"/>
      <c r="L178" s="25"/>
    </row>
    <row r="179">
      <c r="K179" s="3"/>
      <c r="L179" s="25"/>
    </row>
    <row r="180">
      <c r="K180" s="3"/>
      <c r="L180" s="25"/>
    </row>
    <row r="181">
      <c r="K181" s="3"/>
      <c r="L181" s="25"/>
    </row>
    <row r="182">
      <c r="K182" s="3"/>
      <c r="L182" s="25"/>
    </row>
    <row r="183">
      <c r="K183" s="3"/>
      <c r="L183" s="25"/>
    </row>
    <row r="184">
      <c r="K184" s="3"/>
      <c r="L184" s="25"/>
    </row>
    <row r="185">
      <c r="K185" s="3"/>
      <c r="L185" s="25"/>
    </row>
    <row r="186">
      <c r="K186" s="3"/>
      <c r="L186" s="25"/>
    </row>
    <row r="187">
      <c r="K187" s="3"/>
      <c r="L187" s="25"/>
    </row>
    <row r="188">
      <c r="K188" s="3"/>
      <c r="L188" s="25"/>
    </row>
    <row r="189">
      <c r="K189" s="3"/>
      <c r="L189" s="25"/>
    </row>
    <row r="190">
      <c r="K190" s="3"/>
      <c r="L190" s="25"/>
    </row>
    <row r="191">
      <c r="K191" s="3"/>
      <c r="L191" s="25"/>
    </row>
    <row r="192">
      <c r="K192" s="3"/>
      <c r="L192" s="25"/>
    </row>
    <row r="193">
      <c r="K193" s="3"/>
      <c r="L193" s="25"/>
    </row>
    <row r="194">
      <c r="K194" s="3"/>
      <c r="L194" s="25"/>
    </row>
    <row r="195">
      <c r="K195" s="3"/>
      <c r="L195" s="25"/>
    </row>
    <row r="196">
      <c r="K196" s="3"/>
      <c r="L196" s="25"/>
    </row>
    <row r="197">
      <c r="K197" s="3"/>
      <c r="L197" s="25"/>
    </row>
    <row r="198">
      <c r="K198" s="3"/>
      <c r="L198" s="25"/>
    </row>
    <row r="199">
      <c r="K199" s="3"/>
      <c r="L199" s="25"/>
    </row>
    <row r="200">
      <c r="K200" s="3"/>
      <c r="L200" s="25"/>
    </row>
    <row r="201">
      <c r="K201" s="3"/>
      <c r="L201" s="25"/>
    </row>
    <row r="202">
      <c r="K202" s="3"/>
      <c r="L202" s="25"/>
    </row>
    <row r="203">
      <c r="K203" s="3"/>
      <c r="L203" s="25"/>
    </row>
    <row r="204">
      <c r="K204" s="3"/>
      <c r="L204" s="25"/>
    </row>
    <row r="205">
      <c r="K205" s="3"/>
      <c r="L205" s="25"/>
    </row>
    <row r="206">
      <c r="K206" s="3"/>
      <c r="L206" s="25"/>
    </row>
    <row r="207">
      <c r="K207" s="3"/>
      <c r="L207" s="25"/>
    </row>
    <row r="208">
      <c r="K208" s="3"/>
      <c r="L208" s="25"/>
    </row>
    <row r="209">
      <c r="K209" s="3"/>
      <c r="L209" s="25"/>
    </row>
    <row r="210">
      <c r="K210" s="3"/>
      <c r="L210" s="25"/>
    </row>
    <row r="211">
      <c r="K211" s="3"/>
      <c r="L211" s="25"/>
    </row>
    <row r="212">
      <c r="K212" s="3"/>
      <c r="L212" s="25"/>
    </row>
    <row r="213">
      <c r="K213" s="3"/>
      <c r="L213" s="25"/>
    </row>
    <row r="214">
      <c r="K214" s="3"/>
      <c r="L214" s="25"/>
    </row>
    <row r="215">
      <c r="K215" s="3"/>
      <c r="L215" s="25"/>
    </row>
    <row r="216">
      <c r="K216" s="3"/>
      <c r="L216" s="25"/>
    </row>
    <row r="217">
      <c r="K217" s="3"/>
      <c r="L217" s="25"/>
    </row>
    <row r="218">
      <c r="K218" s="3"/>
      <c r="L218" s="25"/>
    </row>
    <row r="219">
      <c r="K219" s="3"/>
      <c r="L219" s="25"/>
    </row>
    <row r="220">
      <c r="K220" s="3"/>
      <c r="L220" s="25"/>
    </row>
    <row r="221">
      <c r="K221" s="3"/>
      <c r="L221" s="25"/>
    </row>
    <row r="222">
      <c r="K222" s="3"/>
      <c r="L222" s="25"/>
    </row>
    <row r="223">
      <c r="K223" s="3"/>
      <c r="L223" s="25"/>
    </row>
    <row r="224">
      <c r="K224" s="3"/>
      <c r="L224" s="25"/>
    </row>
    <row r="225">
      <c r="K225" s="3"/>
      <c r="L225" s="25"/>
    </row>
    <row r="226">
      <c r="K226" s="3"/>
      <c r="L226" s="25"/>
    </row>
    <row r="227">
      <c r="K227" s="3"/>
      <c r="L227" s="25"/>
    </row>
    <row r="228">
      <c r="K228" s="3"/>
      <c r="L228" s="25"/>
    </row>
    <row r="229">
      <c r="K229" s="3"/>
      <c r="L229" s="25"/>
    </row>
    <row r="230">
      <c r="K230" s="3"/>
      <c r="L230" s="25"/>
    </row>
    <row r="231">
      <c r="K231" s="3"/>
      <c r="L231" s="25"/>
    </row>
    <row r="232">
      <c r="K232" s="3"/>
      <c r="L232" s="25"/>
    </row>
    <row r="233">
      <c r="K233" s="3"/>
      <c r="L233" s="25"/>
    </row>
    <row r="234">
      <c r="K234" s="3"/>
      <c r="L234" s="25"/>
    </row>
    <row r="235">
      <c r="K235" s="3"/>
      <c r="L235" s="25"/>
    </row>
    <row r="236">
      <c r="K236" s="3"/>
      <c r="L236" s="25"/>
    </row>
    <row r="237">
      <c r="K237" s="3"/>
      <c r="L237" s="25"/>
    </row>
    <row r="238">
      <c r="K238" s="3"/>
      <c r="L238" s="25"/>
    </row>
    <row r="239">
      <c r="K239" s="3"/>
      <c r="L239" s="25"/>
    </row>
    <row r="240">
      <c r="K240" s="3"/>
      <c r="L240" s="25"/>
    </row>
    <row r="241">
      <c r="K241" s="3"/>
      <c r="L241" s="25"/>
    </row>
    <row r="242">
      <c r="K242" s="3"/>
      <c r="L242" s="25"/>
    </row>
    <row r="243">
      <c r="K243" s="3"/>
      <c r="L243" s="25"/>
    </row>
    <row r="244">
      <c r="K244" s="3"/>
      <c r="L244" s="25"/>
    </row>
    <row r="245">
      <c r="K245" s="3"/>
      <c r="L245" s="25"/>
    </row>
    <row r="246">
      <c r="K246" s="3"/>
      <c r="L246" s="25"/>
    </row>
    <row r="247">
      <c r="K247" s="3"/>
      <c r="L247" s="25"/>
    </row>
    <row r="248">
      <c r="K248" s="3"/>
      <c r="L248" s="25"/>
    </row>
    <row r="249">
      <c r="K249" s="3"/>
      <c r="L249" s="25"/>
    </row>
    <row r="250">
      <c r="K250" s="3"/>
      <c r="L250" s="25"/>
    </row>
    <row r="251">
      <c r="K251" s="3"/>
      <c r="L251" s="25"/>
    </row>
    <row r="252">
      <c r="K252" s="3"/>
      <c r="L252" s="25"/>
    </row>
    <row r="253">
      <c r="K253" s="3"/>
      <c r="L253" s="25"/>
    </row>
    <row r="254">
      <c r="K254" s="3"/>
      <c r="L254" s="25"/>
    </row>
    <row r="255">
      <c r="K255" s="3"/>
      <c r="L255" s="25"/>
    </row>
    <row r="256">
      <c r="K256" s="3"/>
      <c r="L256" s="25"/>
    </row>
    <row r="257">
      <c r="K257" s="3"/>
      <c r="L257" s="25"/>
    </row>
    <row r="258">
      <c r="K258" s="3"/>
      <c r="L258" s="25"/>
    </row>
    <row r="259">
      <c r="K259" s="3"/>
      <c r="L259" s="25"/>
    </row>
    <row r="260">
      <c r="K260" s="3"/>
      <c r="L260" s="25"/>
    </row>
    <row r="261">
      <c r="K261" s="3"/>
      <c r="L261" s="25"/>
    </row>
    <row r="262">
      <c r="K262" s="3"/>
      <c r="L262" s="25"/>
    </row>
    <row r="263">
      <c r="K263" s="3"/>
      <c r="L263" s="25"/>
    </row>
    <row r="264">
      <c r="K264" s="3"/>
      <c r="L264" s="25"/>
    </row>
    <row r="265">
      <c r="K265" s="3"/>
      <c r="L265" s="25"/>
    </row>
    <row r="266">
      <c r="K266" s="3"/>
      <c r="L266" s="25"/>
    </row>
    <row r="267">
      <c r="K267" s="3"/>
      <c r="L267" s="25"/>
    </row>
    <row r="268">
      <c r="K268" s="3"/>
      <c r="L268" s="25"/>
    </row>
    <row r="269">
      <c r="K269" s="3"/>
      <c r="L269" s="25"/>
    </row>
    <row r="270">
      <c r="K270" s="3"/>
      <c r="L270" s="25"/>
    </row>
    <row r="271">
      <c r="K271" s="3"/>
      <c r="L271" s="25"/>
    </row>
    <row r="272">
      <c r="K272" s="3"/>
      <c r="L272" s="25"/>
    </row>
    <row r="273">
      <c r="K273" s="3"/>
      <c r="L273" s="25"/>
    </row>
    <row r="274">
      <c r="K274" s="3"/>
      <c r="L274" s="25"/>
    </row>
    <row r="275">
      <c r="K275" s="3"/>
      <c r="L275" s="25"/>
    </row>
    <row r="276">
      <c r="K276" s="3"/>
      <c r="L276" s="25"/>
    </row>
    <row r="277">
      <c r="K277" s="3"/>
      <c r="L277" s="25"/>
    </row>
    <row r="278">
      <c r="K278" s="3"/>
      <c r="L278" s="25"/>
    </row>
    <row r="279">
      <c r="K279" s="3"/>
      <c r="L279" s="25"/>
    </row>
    <row r="280">
      <c r="K280" s="3"/>
      <c r="L280" s="25"/>
    </row>
    <row r="281">
      <c r="K281" s="3"/>
      <c r="L281" s="25"/>
    </row>
    <row r="282">
      <c r="K282" s="3"/>
      <c r="L282" s="25"/>
    </row>
    <row r="283">
      <c r="K283" s="3"/>
      <c r="L283" s="25"/>
    </row>
    <row r="284">
      <c r="K284" s="3"/>
      <c r="L284" s="25"/>
    </row>
    <row r="285">
      <c r="K285" s="3"/>
      <c r="L285" s="25"/>
    </row>
    <row r="286">
      <c r="K286" s="3"/>
      <c r="L286" s="25"/>
    </row>
    <row r="287">
      <c r="K287" s="3"/>
      <c r="L287" s="25"/>
    </row>
    <row r="288">
      <c r="K288" s="3"/>
      <c r="L288" s="25"/>
    </row>
    <row r="289">
      <c r="K289" s="3"/>
      <c r="L289" s="25"/>
    </row>
    <row r="290">
      <c r="K290" s="3"/>
      <c r="L290" s="25"/>
    </row>
    <row r="291">
      <c r="K291" s="3"/>
      <c r="L291" s="25"/>
    </row>
    <row r="292">
      <c r="K292" s="3"/>
      <c r="L292" s="25"/>
    </row>
    <row r="293">
      <c r="K293" s="3"/>
      <c r="L293" s="25"/>
    </row>
    <row r="294">
      <c r="K294" s="3"/>
      <c r="L294" s="25"/>
    </row>
    <row r="295">
      <c r="K295" s="3"/>
      <c r="L295" s="25"/>
    </row>
    <row r="296">
      <c r="K296" s="3"/>
      <c r="L296" s="25"/>
    </row>
    <row r="297">
      <c r="K297" s="3"/>
      <c r="L297" s="25"/>
    </row>
    <row r="298">
      <c r="K298" s="3"/>
      <c r="L298" s="25"/>
    </row>
    <row r="299">
      <c r="K299" s="3"/>
      <c r="L299" s="25"/>
    </row>
    <row r="300">
      <c r="K300" s="3"/>
      <c r="L300" s="25"/>
    </row>
    <row r="301">
      <c r="K301" s="3"/>
      <c r="L301" s="25"/>
    </row>
    <row r="302">
      <c r="K302" s="3"/>
      <c r="L302" s="25"/>
    </row>
    <row r="303">
      <c r="K303" s="3"/>
      <c r="L303" s="25"/>
    </row>
    <row r="304">
      <c r="K304" s="3"/>
      <c r="L304" s="25"/>
    </row>
    <row r="305">
      <c r="K305" s="3"/>
      <c r="L305" s="25"/>
    </row>
    <row r="306">
      <c r="K306" s="3"/>
      <c r="L306" s="25"/>
    </row>
    <row r="307">
      <c r="K307" s="3"/>
      <c r="L307" s="25"/>
    </row>
    <row r="308">
      <c r="K308" s="3"/>
      <c r="L308" s="25"/>
    </row>
    <row r="309">
      <c r="K309" s="3"/>
      <c r="L309" s="25"/>
    </row>
    <row r="310">
      <c r="K310" s="3"/>
      <c r="L310" s="25"/>
    </row>
    <row r="311">
      <c r="K311" s="3"/>
      <c r="L311" s="25"/>
    </row>
    <row r="312">
      <c r="K312" s="3"/>
      <c r="L312" s="25"/>
    </row>
    <row r="313">
      <c r="K313" s="3"/>
      <c r="L313" s="25"/>
    </row>
    <row r="314">
      <c r="K314" s="3"/>
      <c r="L314" s="25"/>
    </row>
    <row r="315">
      <c r="K315" s="3"/>
      <c r="L315" s="25"/>
    </row>
    <row r="316">
      <c r="K316" s="3"/>
      <c r="L316" s="25"/>
    </row>
    <row r="317">
      <c r="K317" s="3"/>
      <c r="L317" s="25"/>
    </row>
    <row r="318">
      <c r="K318" s="3"/>
      <c r="L318" s="25"/>
    </row>
    <row r="319">
      <c r="K319" s="3"/>
      <c r="L319" s="25"/>
    </row>
    <row r="320">
      <c r="K320" s="3"/>
      <c r="L320" s="25"/>
    </row>
    <row r="321">
      <c r="K321" s="3"/>
      <c r="L321" s="25"/>
    </row>
    <row r="322">
      <c r="K322" s="3"/>
      <c r="L322" s="25"/>
    </row>
    <row r="323">
      <c r="K323" s="3"/>
      <c r="L323" s="25"/>
    </row>
    <row r="324">
      <c r="K324" s="3"/>
      <c r="L324" s="25"/>
    </row>
    <row r="325">
      <c r="K325" s="3"/>
      <c r="L325" s="25"/>
    </row>
    <row r="326">
      <c r="K326" s="3"/>
      <c r="L326" s="25"/>
    </row>
    <row r="327">
      <c r="K327" s="3"/>
      <c r="L327" s="25"/>
    </row>
    <row r="328">
      <c r="K328" s="3"/>
      <c r="L328" s="25"/>
    </row>
    <row r="329">
      <c r="K329" s="3"/>
      <c r="L329" s="25"/>
    </row>
    <row r="330">
      <c r="K330" s="3"/>
      <c r="L330" s="25"/>
    </row>
    <row r="331">
      <c r="K331" s="3"/>
      <c r="L331" s="25"/>
    </row>
    <row r="332">
      <c r="K332" s="3"/>
      <c r="L332" s="25"/>
    </row>
    <row r="333">
      <c r="K333" s="3"/>
      <c r="L333" s="25"/>
    </row>
    <row r="334">
      <c r="K334" s="3"/>
      <c r="L334" s="25"/>
    </row>
    <row r="335">
      <c r="K335" s="3"/>
      <c r="L335" s="25"/>
    </row>
    <row r="336">
      <c r="K336" s="3"/>
      <c r="L336" s="25"/>
    </row>
    <row r="337">
      <c r="K337" s="3"/>
      <c r="L337" s="25"/>
    </row>
    <row r="338">
      <c r="K338" s="3"/>
      <c r="L338" s="25"/>
    </row>
    <row r="339">
      <c r="K339" s="3"/>
      <c r="L339" s="25"/>
    </row>
    <row r="340">
      <c r="K340" s="3"/>
      <c r="L340" s="25"/>
    </row>
    <row r="341">
      <c r="K341" s="3"/>
      <c r="L341" s="25"/>
    </row>
    <row r="342">
      <c r="K342" s="3"/>
      <c r="L342" s="25"/>
    </row>
    <row r="343">
      <c r="K343" s="3"/>
      <c r="L343" s="25"/>
    </row>
    <row r="344">
      <c r="K344" s="3"/>
      <c r="L344" s="25"/>
    </row>
    <row r="345">
      <c r="K345" s="3"/>
      <c r="L345" s="25"/>
    </row>
    <row r="346">
      <c r="K346" s="3"/>
      <c r="L346" s="25"/>
    </row>
    <row r="347">
      <c r="K347" s="3"/>
      <c r="L347" s="25"/>
    </row>
    <row r="348">
      <c r="K348" s="3"/>
      <c r="L348" s="25"/>
    </row>
    <row r="349">
      <c r="K349" s="3"/>
      <c r="L349" s="25"/>
    </row>
    <row r="350">
      <c r="K350" s="3"/>
      <c r="L350" s="25"/>
    </row>
    <row r="351">
      <c r="K351" s="3"/>
      <c r="L351" s="25"/>
    </row>
    <row r="352">
      <c r="K352" s="3"/>
      <c r="L352" s="25"/>
    </row>
    <row r="353">
      <c r="K353" s="3"/>
      <c r="L353" s="25"/>
    </row>
    <row r="354">
      <c r="K354" s="3"/>
      <c r="L354" s="25"/>
    </row>
    <row r="355">
      <c r="K355" s="3"/>
      <c r="L355" s="25"/>
    </row>
    <row r="356">
      <c r="K356" s="3"/>
      <c r="L356" s="25"/>
    </row>
    <row r="357">
      <c r="K357" s="3"/>
      <c r="L357" s="25"/>
    </row>
    <row r="358">
      <c r="K358" s="3"/>
      <c r="L358" s="25"/>
    </row>
    <row r="359">
      <c r="K359" s="3"/>
      <c r="L359" s="25"/>
    </row>
    <row r="360">
      <c r="K360" s="3"/>
      <c r="L360" s="25"/>
    </row>
    <row r="361">
      <c r="K361" s="3"/>
      <c r="L361" s="25"/>
    </row>
    <row r="362">
      <c r="K362" s="3"/>
      <c r="L362" s="25"/>
    </row>
    <row r="363">
      <c r="K363" s="3"/>
      <c r="L363" s="25"/>
    </row>
    <row r="364">
      <c r="K364" s="3"/>
      <c r="L364" s="25"/>
    </row>
    <row r="365">
      <c r="K365" s="3"/>
      <c r="L365" s="25"/>
    </row>
    <row r="366">
      <c r="K366" s="3"/>
      <c r="L366" s="25"/>
    </row>
    <row r="367">
      <c r="K367" s="3"/>
      <c r="L367" s="25"/>
    </row>
    <row r="368">
      <c r="K368" s="3"/>
      <c r="L368" s="25"/>
    </row>
    <row r="369">
      <c r="K369" s="3"/>
      <c r="L369" s="25"/>
    </row>
    <row r="370">
      <c r="K370" s="3"/>
      <c r="L370" s="25"/>
    </row>
    <row r="371">
      <c r="K371" s="3"/>
      <c r="L371" s="25"/>
    </row>
    <row r="372">
      <c r="K372" s="3"/>
      <c r="L372" s="25"/>
    </row>
    <row r="373">
      <c r="K373" s="3"/>
      <c r="L373" s="25"/>
    </row>
    <row r="374">
      <c r="K374" s="3"/>
      <c r="L374" s="25"/>
    </row>
    <row r="375">
      <c r="K375" s="3"/>
      <c r="L375" s="25"/>
    </row>
    <row r="376">
      <c r="K376" s="3"/>
      <c r="L376" s="25"/>
    </row>
    <row r="377">
      <c r="K377" s="3"/>
      <c r="L377" s="25"/>
    </row>
    <row r="378">
      <c r="K378" s="3"/>
      <c r="L378" s="25"/>
    </row>
    <row r="379">
      <c r="K379" s="3"/>
      <c r="L379" s="25"/>
    </row>
    <row r="380">
      <c r="K380" s="3"/>
      <c r="L380" s="25"/>
    </row>
    <row r="381">
      <c r="K381" s="3"/>
      <c r="L381" s="25"/>
    </row>
    <row r="382">
      <c r="K382" s="3"/>
      <c r="L382" s="25"/>
    </row>
    <row r="383">
      <c r="K383" s="3"/>
      <c r="L383" s="25"/>
    </row>
    <row r="384">
      <c r="K384" s="3"/>
      <c r="L384" s="25"/>
    </row>
    <row r="385">
      <c r="K385" s="3"/>
      <c r="L385" s="25"/>
    </row>
    <row r="386">
      <c r="K386" s="3"/>
      <c r="L386" s="25"/>
    </row>
    <row r="387">
      <c r="K387" s="3"/>
      <c r="L387" s="25"/>
    </row>
    <row r="388">
      <c r="K388" s="3"/>
      <c r="L388" s="25"/>
    </row>
    <row r="389">
      <c r="K389" s="3"/>
      <c r="L389" s="25"/>
    </row>
    <row r="390">
      <c r="K390" s="3"/>
      <c r="L390" s="25"/>
    </row>
    <row r="391">
      <c r="K391" s="3"/>
      <c r="L391" s="25"/>
    </row>
    <row r="392">
      <c r="K392" s="3"/>
      <c r="L392" s="25"/>
    </row>
    <row r="393">
      <c r="K393" s="3"/>
      <c r="L393" s="25"/>
    </row>
    <row r="394">
      <c r="K394" s="3"/>
      <c r="L394" s="25"/>
    </row>
    <row r="395">
      <c r="K395" s="3"/>
      <c r="L395" s="25"/>
    </row>
    <row r="396">
      <c r="K396" s="3"/>
      <c r="L396" s="25"/>
    </row>
    <row r="397">
      <c r="K397" s="3"/>
      <c r="L397" s="25"/>
    </row>
    <row r="398">
      <c r="K398" s="3"/>
      <c r="L398" s="25"/>
    </row>
    <row r="399">
      <c r="K399" s="3"/>
      <c r="L399" s="25"/>
    </row>
    <row r="400">
      <c r="K400" s="3"/>
      <c r="L400" s="25"/>
    </row>
    <row r="401">
      <c r="K401" s="3"/>
      <c r="L401" s="25"/>
    </row>
    <row r="402">
      <c r="K402" s="3"/>
      <c r="L402" s="25"/>
    </row>
    <row r="403">
      <c r="K403" s="3"/>
      <c r="L403" s="25"/>
    </row>
    <row r="404">
      <c r="K404" s="3"/>
      <c r="L404" s="25"/>
    </row>
    <row r="405">
      <c r="K405" s="3"/>
      <c r="L405" s="25"/>
    </row>
    <row r="406">
      <c r="K406" s="3"/>
      <c r="L406" s="25"/>
    </row>
    <row r="407">
      <c r="K407" s="3"/>
      <c r="L407" s="25"/>
    </row>
    <row r="408">
      <c r="K408" s="3"/>
      <c r="L408" s="25"/>
    </row>
    <row r="409">
      <c r="K409" s="3"/>
      <c r="L409" s="25"/>
    </row>
    <row r="410">
      <c r="K410" s="3"/>
      <c r="L410" s="25"/>
    </row>
    <row r="411">
      <c r="K411" s="3"/>
      <c r="L411" s="25"/>
    </row>
    <row r="412">
      <c r="K412" s="3"/>
      <c r="L412" s="25"/>
    </row>
    <row r="413">
      <c r="K413" s="3"/>
      <c r="L413" s="25"/>
    </row>
    <row r="414">
      <c r="K414" s="3"/>
      <c r="L414" s="25"/>
    </row>
    <row r="415">
      <c r="K415" s="3"/>
      <c r="L415" s="25"/>
    </row>
    <row r="416">
      <c r="K416" s="3"/>
      <c r="L416" s="25"/>
    </row>
    <row r="417">
      <c r="K417" s="3"/>
      <c r="L417" s="25"/>
    </row>
    <row r="418">
      <c r="K418" s="3"/>
      <c r="L418" s="25"/>
    </row>
    <row r="419">
      <c r="K419" s="3"/>
      <c r="L419" s="25"/>
    </row>
    <row r="420">
      <c r="K420" s="3"/>
      <c r="L420" s="25"/>
    </row>
    <row r="421">
      <c r="K421" s="3"/>
      <c r="L421" s="25"/>
    </row>
    <row r="422">
      <c r="K422" s="3"/>
      <c r="L422" s="25"/>
    </row>
    <row r="423">
      <c r="K423" s="3"/>
      <c r="L423" s="25"/>
    </row>
    <row r="424">
      <c r="K424" s="3"/>
      <c r="L424" s="25"/>
    </row>
    <row r="425">
      <c r="K425" s="3"/>
      <c r="L425" s="25"/>
    </row>
    <row r="426">
      <c r="K426" s="3"/>
      <c r="L426" s="25"/>
    </row>
    <row r="427">
      <c r="K427" s="3"/>
      <c r="L427" s="25"/>
    </row>
    <row r="428">
      <c r="K428" s="3"/>
      <c r="L428" s="25"/>
    </row>
    <row r="429">
      <c r="K429" s="3"/>
      <c r="L429" s="25"/>
    </row>
    <row r="430">
      <c r="K430" s="3"/>
      <c r="L430" s="25"/>
    </row>
    <row r="431">
      <c r="K431" s="3"/>
      <c r="L431" s="25"/>
    </row>
    <row r="432">
      <c r="K432" s="3"/>
      <c r="L432" s="25"/>
    </row>
    <row r="433">
      <c r="K433" s="3"/>
      <c r="L433" s="25"/>
    </row>
    <row r="434">
      <c r="K434" s="3"/>
      <c r="L434" s="25"/>
    </row>
    <row r="435">
      <c r="K435" s="3"/>
      <c r="L435" s="25"/>
    </row>
    <row r="436">
      <c r="K436" s="3"/>
      <c r="L436" s="25"/>
    </row>
    <row r="437">
      <c r="K437" s="3"/>
      <c r="L437" s="25"/>
    </row>
    <row r="438">
      <c r="K438" s="3"/>
      <c r="L438" s="25"/>
    </row>
    <row r="439">
      <c r="K439" s="3"/>
      <c r="L439" s="25"/>
    </row>
    <row r="440">
      <c r="K440" s="3"/>
      <c r="L440" s="25"/>
    </row>
    <row r="441">
      <c r="K441" s="3"/>
      <c r="L441" s="25"/>
    </row>
    <row r="442">
      <c r="K442" s="3"/>
      <c r="L442" s="25"/>
    </row>
    <row r="443">
      <c r="K443" s="3"/>
      <c r="L443" s="25"/>
    </row>
    <row r="444">
      <c r="K444" s="3"/>
      <c r="L444" s="25"/>
    </row>
    <row r="445">
      <c r="K445" s="3"/>
      <c r="L445" s="25"/>
    </row>
    <row r="446">
      <c r="K446" s="3"/>
      <c r="L446" s="25"/>
    </row>
    <row r="447">
      <c r="K447" s="3"/>
      <c r="L447" s="25"/>
    </row>
    <row r="448">
      <c r="K448" s="3"/>
      <c r="L448" s="25"/>
    </row>
    <row r="449">
      <c r="K449" s="3"/>
      <c r="L449" s="25"/>
    </row>
    <row r="450">
      <c r="K450" s="3"/>
      <c r="L450" s="25"/>
    </row>
    <row r="451">
      <c r="K451" s="3"/>
      <c r="L451" s="25"/>
    </row>
    <row r="452">
      <c r="K452" s="3"/>
      <c r="L452" s="25"/>
    </row>
    <row r="453">
      <c r="K453" s="3"/>
      <c r="L453" s="25"/>
    </row>
    <row r="454">
      <c r="K454" s="3"/>
      <c r="L454" s="25"/>
    </row>
    <row r="455">
      <c r="K455" s="3"/>
      <c r="L455" s="25"/>
    </row>
    <row r="456">
      <c r="K456" s="3"/>
      <c r="L456" s="25"/>
    </row>
    <row r="457">
      <c r="K457" s="3"/>
      <c r="L457" s="25"/>
    </row>
    <row r="458">
      <c r="K458" s="3"/>
      <c r="L458" s="25"/>
    </row>
    <row r="459">
      <c r="K459" s="3"/>
      <c r="L459" s="25"/>
    </row>
    <row r="460">
      <c r="K460" s="3"/>
      <c r="L460" s="25"/>
    </row>
    <row r="461">
      <c r="K461" s="3"/>
      <c r="L461" s="25"/>
    </row>
    <row r="462">
      <c r="K462" s="3"/>
      <c r="L462" s="25"/>
    </row>
    <row r="463">
      <c r="K463" s="3"/>
      <c r="L463" s="25"/>
    </row>
    <row r="464">
      <c r="K464" s="3"/>
      <c r="L464" s="25"/>
    </row>
    <row r="465">
      <c r="K465" s="3"/>
      <c r="L465" s="25"/>
    </row>
    <row r="466">
      <c r="K466" s="3"/>
      <c r="L466" s="25"/>
    </row>
    <row r="467">
      <c r="K467" s="3"/>
      <c r="L467" s="25"/>
    </row>
    <row r="468">
      <c r="K468" s="3"/>
      <c r="L468" s="25"/>
    </row>
    <row r="469">
      <c r="K469" s="3"/>
      <c r="L469" s="25"/>
    </row>
    <row r="470">
      <c r="K470" s="3"/>
      <c r="L470" s="25"/>
    </row>
    <row r="471">
      <c r="K471" s="3"/>
      <c r="L471" s="25"/>
    </row>
    <row r="472">
      <c r="K472" s="3"/>
      <c r="L472" s="25"/>
    </row>
    <row r="473">
      <c r="K473" s="3"/>
      <c r="L473" s="25"/>
    </row>
    <row r="474">
      <c r="K474" s="3"/>
      <c r="L474" s="25"/>
    </row>
    <row r="475">
      <c r="K475" s="3"/>
      <c r="L475" s="25"/>
    </row>
    <row r="476">
      <c r="K476" s="3"/>
      <c r="L476" s="25"/>
    </row>
    <row r="477">
      <c r="K477" s="3"/>
      <c r="L477" s="25"/>
    </row>
    <row r="478">
      <c r="K478" s="3"/>
      <c r="L478" s="25"/>
    </row>
    <row r="479">
      <c r="K479" s="3"/>
      <c r="L479" s="25"/>
    </row>
    <row r="480">
      <c r="K480" s="3"/>
      <c r="L480" s="25"/>
    </row>
    <row r="481">
      <c r="K481" s="3"/>
      <c r="L481" s="25"/>
    </row>
    <row r="482">
      <c r="K482" s="3"/>
      <c r="L482" s="25"/>
    </row>
    <row r="483">
      <c r="K483" s="3"/>
      <c r="L483" s="25"/>
    </row>
    <row r="484">
      <c r="K484" s="3"/>
      <c r="L484" s="25"/>
    </row>
    <row r="485">
      <c r="K485" s="3"/>
      <c r="L485" s="25"/>
    </row>
    <row r="486">
      <c r="K486" s="3"/>
      <c r="L486" s="25"/>
    </row>
    <row r="487">
      <c r="K487" s="3"/>
      <c r="L487" s="25"/>
    </row>
    <row r="488">
      <c r="K488" s="3"/>
      <c r="L488" s="25"/>
    </row>
    <row r="489">
      <c r="K489" s="3"/>
      <c r="L489" s="25"/>
    </row>
    <row r="490">
      <c r="K490" s="3"/>
      <c r="L490" s="25"/>
    </row>
    <row r="491">
      <c r="K491" s="3"/>
      <c r="L491" s="25"/>
    </row>
    <row r="492">
      <c r="K492" s="3"/>
      <c r="L492" s="25"/>
    </row>
    <row r="493">
      <c r="K493" s="3"/>
      <c r="L493" s="25"/>
    </row>
    <row r="494">
      <c r="K494" s="3"/>
      <c r="L494" s="25"/>
    </row>
    <row r="495">
      <c r="K495" s="3"/>
      <c r="L495" s="25"/>
    </row>
    <row r="496">
      <c r="K496" s="3"/>
      <c r="L496" s="25"/>
    </row>
    <row r="497">
      <c r="K497" s="3"/>
      <c r="L497" s="25"/>
    </row>
    <row r="498">
      <c r="K498" s="3"/>
      <c r="L498" s="25"/>
    </row>
    <row r="499">
      <c r="K499" s="3"/>
      <c r="L499" s="25"/>
    </row>
    <row r="500">
      <c r="K500" s="3"/>
      <c r="L500" s="25"/>
    </row>
    <row r="501">
      <c r="K501" s="3"/>
      <c r="L501" s="25"/>
    </row>
    <row r="502">
      <c r="K502" s="3"/>
      <c r="L502" s="25"/>
    </row>
    <row r="503">
      <c r="K503" s="3"/>
      <c r="L503" s="25"/>
    </row>
    <row r="504">
      <c r="K504" s="3"/>
      <c r="L504" s="25"/>
    </row>
    <row r="505">
      <c r="K505" s="3"/>
      <c r="L505" s="25"/>
    </row>
    <row r="506">
      <c r="K506" s="3"/>
      <c r="L506" s="25"/>
    </row>
    <row r="507">
      <c r="K507" s="3"/>
      <c r="L507" s="25"/>
    </row>
    <row r="508">
      <c r="K508" s="3"/>
      <c r="L508" s="25"/>
    </row>
    <row r="509">
      <c r="K509" s="3"/>
      <c r="L509" s="25"/>
    </row>
    <row r="510">
      <c r="K510" s="3"/>
      <c r="L510" s="25"/>
    </row>
    <row r="511">
      <c r="K511" s="3"/>
      <c r="L511" s="25"/>
    </row>
    <row r="512">
      <c r="K512" s="3"/>
      <c r="L512" s="25"/>
    </row>
    <row r="513">
      <c r="K513" s="3"/>
      <c r="L513" s="25"/>
    </row>
    <row r="514">
      <c r="K514" s="3"/>
      <c r="L514" s="25"/>
    </row>
    <row r="515">
      <c r="K515" s="3"/>
      <c r="L515" s="25"/>
    </row>
    <row r="516">
      <c r="K516" s="3"/>
      <c r="L516" s="25"/>
    </row>
    <row r="517">
      <c r="K517" s="3"/>
      <c r="L517" s="25"/>
    </row>
    <row r="518">
      <c r="K518" s="3"/>
      <c r="L518" s="25"/>
    </row>
    <row r="519">
      <c r="K519" s="3"/>
      <c r="L519" s="25"/>
    </row>
    <row r="520">
      <c r="K520" s="3"/>
      <c r="L520" s="25"/>
    </row>
    <row r="521">
      <c r="K521" s="3"/>
      <c r="L521" s="25"/>
    </row>
    <row r="522">
      <c r="K522" s="3"/>
      <c r="L522" s="25"/>
    </row>
    <row r="523">
      <c r="K523" s="3"/>
      <c r="L523" s="25"/>
    </row>
    <row r="524">
      <c r="K524" s="3"/>
      <c r="L524" s="25"/>
    </row>
    <row r="525">
      <c r="K525" s="3"/>
      <c r="L525" s="25"/>
    </row>
    <row r="526">
      <c r="K526" s="3"/>
      <c r="L526" s="25"/>
    </row>
    <row r="527">
      <c r="K527" s="3"/>
      <c r="L527" s="25"/>
    </row>
    <row r="528">
      <c r="K528" s="3"/>
      <c r="L528" s="25"/>
    </row>
    <row r="529">
      <c r="K529" s="3"/>
      <c r="L529" s="25"/>
    </row>
    <row r="530">
      <c r="K530" s="3"/>
      <c r="L530" s="25"/>
    </row>
    <row r="531">
      <c r="K531" s="3"/>
      <c r="L531" s="25"/>
    </row>
    <row r="532">
      <c r="K532" s="3"/>
      <c r="L532" s="25"/>
    </row>
    <row r="533">
      <c r="K533" s="3"/>
      <c r="L533" s="25"/>
    </row>
    <row r="534">
      <c r="K534" s="3"/>
      <c r="L534" s="25"/>
    </row>
    <row r="535">
      <c r="K535" s="3"/>
      <c r="L535" s="25"/>
    </row>
    <row r="536">
      <c r="K536" s="3"/>
      <c r="L536" s="25"/>
    </row>
    <row r="537">
      <c r="K537" s="3"/>
      <c r="L537" s="25"/>
    </row>
    <row r="538">
      <c r="K538" s="3"/>
      <c r="L538" s="25"/>
    </row>
    <row r="539">
      <c r="K539" s="3"/>
      <c r="L539" s="25"/>
    </row>
    <row r="540">
      <c r="K540" s="3"/>
      <c r="L540" s="25"/>
    </row>
    <row r="541">
      <c r="K541" s="3"/>
      <c r="L541" s="25"/>
    </row>
    <row r="542">
      <c r="K542" s="3"/>
      <c r="L542" s="25"/>
    </row>
    <row r="543">
      <c r="K543" s="3"/>
      <c r="L543" s="25"/>
    </row>
    <row r="544">
      <c r="K544" s="3"/>
      <c r="L544" s="25"/>
    </row>
    <row r="545">
      <c r="K545" s="3"/>
      <c r="L545" s="25"/>
    </row>
    <row r="546">
      <c r="K546" s="3"/>
      <c r="L546" s="25"/>
    </row>
    <row r="547">
      <c r="K547" s="3"/>
      <c r="L547" s="25"/>
    </row>
    <row r="548">
      <c r="K548" s="3"/>
      <c r="L548" s="25"/>
    </row>
    <row r="549">
      <c r="K549" s="3"/>
      <c r="L549" s="25"/>
    </row>
    <row r="550">
      <c r="K550" s="3"/>
      <c r="L550" s="25"/>
    </row>
    <row r="551">
      <c r="K551" s="3"/>
      <c r="L551" s="25"/>
    </row>
    <row r="552">
      <c r="K552" s="3"/>
      <c r="L552" s="25"/>
    </row>
    <row r="553">
      <c r="K553" s="3"/>
      <c r="L553" s="25"/>
    </row>
    <row r="554">
      <c r="K554" s="3"/>
      <c r="L554" s="25"/>
    </row>
    <row r="555">
      <c r="K555" s="3"/>
      <c r="L555" s="25"/>
    </row>
    <row r="556">
      <c r="K556" s="3"/>
      <c r="L556" s="25"/>
    </row>
    <row r="557">
      <c r="K557" s="3"/>
      <c r="L557" s="25"/>
    </row>
    <row r="558">
      <c r="K558" s="3"/>
      <c r="L558" s="25"/>
    </row>
    <row r="559">
      <c r="K559" s="3"/>
      <c r="L559" s="25"/>
    </row>
    <row r="560">
      <c r="K560" s="3"/>
      <c r="L560" s="25"/>
    </row>
    <row r="561">
      <c r="K561" s="3"/>
      <c r="L561" s="25"/>
    </row>
    <row r="562">
      <c r="K562" s="3"/>
      <c r="L562" s="25"/>
    </row>
    <row r="563">
      <c r="K563" s="3"/>
      <c r="L563" s="25"/>
    </row>
    <row r="564">
      <c r="K564" s="3"/>
      <c r="L564" s="25"/>
    </row>
    <row r="565">
      <c r="K565" s="3"/>
      <c r="L565" s="25"/>
    </row>
    <row r="566">
      <c r="K566" s="3"/>
      <c r="L566" s="25"/>
    </row>
    <row r="567">
      <c r="K567" s="3"/>
      <c r="L567" s="25"/>
    </row>
    <row r="568">
      <c r="K568" s="3"/>
      <c r="L568" s="25"/>
    </row>
    <row r="569">
      <c r="K569" s="3"/>
      <c r="L569" s="25"/>
    </row>
    <row r="570">
      <c r="K570" s="3"/>
      <c r="L570" s="25"/>
    </row>
    <row r="571">
      <c r="K571" s="3"/>
      <c r="L571" s="25"/>
    </row>
    <row r="572">
      <c r="K572" s="3"/>
      <c r="L572" s="25"/>
    </row>
    <row r="573">
      <c r="K573" s="3"/>
      <c r="L573" s="25"/>
    </row>
    <row r="574">
      <c r="K574" s="3"/>
      <c r="L574" s="25"/>
    </row>
    <row r="575">
      <c r="K575" s="3"/>
      <c r="L575" s="25"/>
    </row>
    <row r="576">
      <c r="K576" s="3"/>
      <c r="L576" s="25"/>
    </row>
    <row r="577">
      <c r="K577" s="3"/>
      <c r="L577" s="25"/>
    </row>
    <row r="578">
      <c r="K578" s="3"/>
      <c r="L578" s="25"/>
    </row>
    <row r="579">
      <c r="K579" s="3"/>
      <c r="L579" s="25"/>
    </row>
    <row r="580">
      <c r="K580" s="3"/>
      <c r="L580" s="25"/>
    </row>
    <row r="581">
      <c r="K581" s="3"/>
      <c r="L581" s="25"/>
    </row>
    <row r="582">
      <c r="K582" s="3"/>
      <c r="L582" s="25"/>
    </row>
    <row r="583">
      <c r="K583" s="3"/>
      <c r="L583" s="25"/>
    </row>
    <row r="584">
      <c r="K584" s="3"/>
      <c r="L584" s="25"/>
    </row>
    <row r="585">
      <c r="K585" s="3"/>
      <c r="L585" s="25"/>
    </row>
    <row r="586">
      <c r="K586" s="3"/>
      <c r="L586" s="25"/>
    </row>
    <row r="587">
      <c r="K587" s="3"/>
      <c r="L587" s="25"/>
    </row>
    <row r="588">
      <c r="K588" s="3"/>
      <c r="L588" s="25"/>
    </row>
    <row r="589">
      <c r="K589" s="3"/>
      <c r="L589" s="25"/>
    </row>
    <row r="590">
      <c r="K590" s="3"/>
      <c r="L590" s="25"/>
    </row>
    <row r="591">
      <c r="K591" s="3"/>
      <c r="L591" s="25"/>
    </row>
    <row r="592">
      <c r="K592" s="3"/>
      <c r="L592" s="25"/>
    </row>
    <row r="593">
      <c r="K593" s="3"/>
      <c r="L593" s="25"/>
    </row>
    <row r="594">
      <c r="K594" s="3"/>
      <c r="L594" s="25"/>
    </row>
    <row r="595">
      <c r="K595" s="3"/>
      <c r="L595" s="25"/>
    </row>
    <row r="596">
      <c r="K596" s="3"/>
      <c r="L596" s="25"/>
    </row>
    <row r="597">
      <c r="K597" s="3"/>
      <c r="L597" s="25"/>
    </row>
    <row r="598">
      <c r="K598" s="3"/>
      <c r="L598" s="25"/>
    </row>
    <row r="599">
      <c r="K599" s="3"/>
      <c r="L599" s="25"/>
    </row>
    <row r="600">
      <c r="K600" s="3"/>
      <c r="L600" s="25"/>
    </row>
    <row r="601">
      <c r="K601" s="3"/>
      <c r="L601" s="25"/>
    </row>
    <row r="602">
      <c r="K602" s="3"/>
      <c r="L602" s="25"/>
    </row>
    <row r="603">
      <c r="K603" s="3"/>
      <c r="L603" s="25"/>
    </row>
    <row r="604">
      <c r="K604" s="3"/>
      <c r="L604" s="25"/>
    </row>
    <row r="605">
      <c r="K605" s="3"/>
      <c r="L605" s="25"/>
    </row>
    <row r="606">
      <c r="K606" s="3"/>
      <c r="L606" s="25"/>
    </row>
    <row r="607">
      <c r="K607" s="3"/>
      <c r="L607" s="25"/>
    </row>
    <row r="608">
      <c r="K608" s="3"/>
      <c r="L608" s="25"/>
    </row>
    <row r="609">
      <c r="K609" s="3"/>
      <c r="L609" s="25"/>
    </row>
    <row r="610">
      <c r="K610" s="3"/>
      <c r="L610" s="25"/>
    </row>
    <row r="611">
      <c r="K611" s="3"/>
      <c r="L611" s="25"/>
    </row>
    <row r="612">
      <c r="K612" s="3"/>
      <c r="L612" s="25"/>
    </row>
    <row r="613">
      <c r="K613" s="3"/>
      <c r="L613" s="25"/>
    </row>
    <row r="614">
      <c r="K614" s="3"/>
      <c r="L614" s="25"/>
    </row>
    <row r="615">
      <c r="K615" s="3"/>
      <c r="L615" s="25"/>
    </row>
    <row r="616">
      <c r="K616" s="3"/>
      <c r="L616" s="25"/>
    </row>
    <row r="617">
      <c r="K617" s="3"/>
      <c r="L617" s="25"/>
    </row>
    <row r="618">
      <c r="K618" s="3"/>
      <c r="L618" s="25"/>
    </row>
    <row r="619">
      <c r="K619" s="3"/>
      <c r="L619" s="25"/>
    </row>
    <row r="620">
      <c r="K620" s="3"/>
      <c r="L620" s="25"/>
    </row>
    <row r="621">
      <c r="K621" s="3"/>
      <c r="L621" s="25"/>
    </row>
    <row r="622">
      <c r="K622" s="3"/>
      <c r="L622" s="25"/>
    </row>
    <row r="623">
      <c r="K623" s="3"/>
      <c r="L623" s="25"/>
    </row>
    <row r="624">
      <c r="K624" s="3"/>
      <c r="L624" s="25"/>
    </row>
    <row r="625">
      <c r="K625" s="3"/>
      <c r="L625" s="25"/>
    </row>
    <row r="626">
      <c r="K626" s="3"/>
      <c r="L626" s="25"/>
    </row>
    <row r="627">
      <c r="K627" s="3"/>
      <c r="L627" s="25"/>
    </row>
    <row r="628">
      <c r="K628" s="3"/>
      <c r="L628" s="25"/>
    </row>
    <row r="629">
      <c r="K629" s="3"/>
      <c r="L629" s="25"/>
    </row>
    <row r="630">
      <c r="K630" s="3"/>
      <c r="L630" s="25"/>
    </row>
    <row r="631">
      <c r="K631" s="3"/>
      <c r="L631" s="25"/>
    </row>
    <row r="632">
      <c r="K632" s="3"/>
      <c r="L632" s="25"/>
    </row>
    <row r="633">
      <c r="K633" s="3"/>
      <c r="L633" s="25"/>
    </row>
    <row r="634">
      <c r="K634" s="3"/>
      <c r="L634" s="25"/>
    </row>
    <row r="635">
      <c r="K635" s="3"/>
      <c r="L635" s="25"/>
    </row>
    <row r="636">
      <c r="K636" s="3"/>
      <c r="L636" s="25"/>
    </row>
    <row r="637">
      <c r="K637" s="3"/>
      <c r="L637" s="25"/>
    </row>
    <row r="638">
      <c r="K638" s="3"/>
      <c r="L638" s="25"/>
    </row>
    <row r="639">
      <c r="K639" s="3"/>
      <c r="L639" s="25"/>
    </row>
    <row r="640">
      <c r="K640" s="3"/>
      <c r="L640" s="25"/>
    </row>
    <row r="641">
      <c r="K641" s="3"/>
      <c r="L641" s="25"/>
    </row>
    <row r="642">
      <c r="K642" s="3"/>
      <c r="L642" s="25"/>
    </row>
    <row r="643">
      <c r="K643" s="3"/>
      <c r="L643" s="25"/>
    </row>
    <row r="644">
      <c r="K644" s="3"/>
      <c r="L644" s="25"/>
    </row>
    <row r="645">
      <c r="K645" s="3"/>
      <c r="L645" s="25"/>
    </row>
    <row r="646">
      <c r="K646" s="3"/>
      <c r="L646" s="25"/>
    </row>
    <row r="647">
      <c r="K647" s="3"/>
      <c r="L647" s="25"/>
    </row>
    <row r="648">
      <c r="K648" s="3"/>
      <c r="L648" s="25"/>
    </row>
    <row r="649">
      <c r="K649" s="3"/>
      <c r="L649" s="25"/>
    </row>
    <row r="650">
      <c r="K650" s="3"/>
      <c r="L650" s="25"/>
    </row>
    <row r="651">
      <c r="K651" s="3"/>
      <c r="L651" s="25"/>
    </row>
    <row r="652">
      <c r="K652" s="3"/>
      <c r="L652" s="25"/>
    </row>
    <row r="653">
      <c r="K653" s="3"/>
      <c r="L653" s="25"/>
    </row>
    <row r="654">
      <c r="K654" s="3"/>
      <c r="L654" s="25"/>
    </row>
    <row r="655">
      <c r="K655" s="3"/>
      <c r="L655" s="25"/>
    </row>
    <row r="656">
      <c r="K656" s="3"/>
      <c r="L656" s="25"/>
    </row>
    <row r="657">
      <c r="K657" s="3"/>
      <c r="L657" s="25"/>
    </row>
    <row r="658">
      <c r="K658" s="3"/>
      <c r="L658" s="25"/>
    </row>
    <row r="659">
      <c r="K659" s="3"/>
      <c r="L659" s="25"/>
    </row>
    <row r="660">
      <c r="K660" s="3"/>
      <c r="L660" s="25"/>
    </row>
    <row r="661">
      <c r="K661" s="3"/>
      <c r="L661" s="25"/>
    </row>
    <row r="662">
      <c r="K662" s="3"/>
      <c r="L662" s="25"/>
    </row>
    <row r="663">
      <c r="K663" s="3"/>
      <c r="L663" s="25"/>
    </row>
    <row r="664">
      <c r="K664" s="3"/>
      <c r="L664" s="25"/>
    </row>
    <row r="665">
      <c r="K665" s="3"/>
      <c r="L665" s="25"/>
    </row>
    <row r="666">
      <c r="K666" s="3"/>
      <c r="L666" s="25"/>
    </row>
    <row r="667">
      <c r="K667" s="3"/>
      <c r="L667" s="25"/>
    </row>
    <row r="668">
      <c r="K668" s="3"/>
      <c r="L668" s="25"/>
    </row>
    <row r="669">
      <c r="K669" s="3"/>
      <c r="L669" s="25"/>
    </row>
    <row r="670">
      <c r="K670" s="3"/>
      <c r="L670" s="25"/>
    </row>
    <row r="671">
      <c r="K671" s="3"/>
      <c r="L671" s="25"/>
    </row>
    <row r="672">
      <c r="K672" s="3"/>
      <c r="L672" s="25"/>
    </row>
    <row r="673">
      <c r="K673" s="3"/>
      <c r="L673" s="25"/>
    </row>
    <row r="674">
      <c r="K674" s="3"/>
      <c r="L674" s="25"/>
    </row>
    <row r="675">
      <c r="K675" s="3"/>
      <c r="L675" s="25"/>
    </row>
    <row r="676">
      <c r="K676" s="3"/>
      <c r="L676" s="25"/>
    </row>
    <row r="677">
      <c r="K677" s="3"/>
      <c r="L677" s="25"/>
    </row>
    <row r="678">
      <c r="K678" s="3"/>
      <c r="L678" s="25"/>
    </row>
    <row r="679">
      <c r="K679" s="3"/>
      <c r="L679" s="25"/>
    </row>
    <row r="680">
      <c r="K680" s="3"/>
      <c r="L680" s="25"/>
    </row>
    <row r="681">
      <c r="K681" s="3"/>
      <c r="L681" s="25"/>
    </row>
    <row r="682">
      <c r="K682" s="3"/>
      <c r="L682" s="25"/>
    </row>
    <row r="683">
      <c r="K683" s="3"/>
      <c r="L683" s="25"/>
    </row>
    <row r="684">
      <c r="K684" s="3"/>
      <c r="L684" s="25"/>
    </row>
    <row r="685">
      <c r="K685" s="3"/>
      <c r="L685" s="25"/>
    </row>
    <row r="686">
      <c r="K686" s="3"/>
      <c r="L686" s="25"/>
    </row>
    <row r="687">
      <c r="K687" s="3"/>
      <c r="L687" s="25"/>
    </row>
    <row r="688">
      <c r="K688" s="3"/>
      <c r="L688" s="25"/>
    </row>
    <row r="689">
      <c r="K689" s="3"/>
      <c r="L689" s="25"/>
    </row>
    <row r="690">
      <c r="K690" s="3"/>
      <c r="L690" s="25"/>
    </row>
    <row r="691">
      <c r="K691" s="3"/>
      <c r="L691" s="25"/>
    </row>
    <row r="692">
      <c r="K692" s="3"/>
      <c r="L692" s="25"/>
    </row>
    <row r="693">
      <c r="K693" s="3"/>
      <c r="L693" s="25"/>
    </row>
    <row r="694">
      <c r="K694" s="3"/>
      <c r="L694" s="25"/>
    </row>
    <row r="695">
      <c r="K695" s="3"/>
      <c r="L695" s="25"/>
    </row>
    <row r="696">
      <c r="K696" s="3"/>
      <c r="L696" s="25"/>
    </row>
    <row r="697">
      <c r="K697" s="3"/>
      <c r="L697" s="25"/>
    </row>
    <row r="698">
      <c r="K698" s="3"/>
      <c r="L698" s="25"/>
    </row>
    <row r="699">
      <c r="K699" s="3"/>
      <c r="L699" s="25"/>
    </row>
    <row r="700">
      <c r="K700" s="3"/>
      <c r="L700" s="25"/>
    </row>
    <row r="701">
      <c r="K701" s="3"/>
      <c r="L701" s="25"/>
    </row>
    <row r="702">
      <c r="K702" s="3"/>
      <c r="L702" s="25"/>
    </row>
    <row r="703">
      <c r="K703" s="3"/>
      <c r="L703" s="25"/>
    </row>
    <row r="704">
      <c r="K704" s="3"/>
      <c r="L704" s="25"/>
    </row>
    <row r="705">
      <c r="K705" s="3"/>
      <c r="L705" s="25"/>
    </row>
    <row r="706">
      <c r="K706" s="3"/>
      <c r="L706" s="25"/>
    </row>
    <row r="707">
      <c r="K707" s="3"/>
      <c r="L707" s="25"/>
    </row>
    <row r="708">
      <c r="K708" s="3"/>
      <c r="L708" s="25"/>
    </row>
    <row r="709">
      <c r="K709" s="3"/>
      <c r="L709" s="25"/>
    </row>
    <row r="710">
      <c r="K710" s="3"/>
      <c r="L710" s="25"/>
    </row>
    <row r="711">
      <c r="K711" s="3"/>
      <c r="L711" s="25"/>
    </row>
    <row r="712">
      <c r="K712" s="3"/>
      <c r="L712" s="25"/>
    </row>
    <row r="713">
      <c r="K713" s="3"/>
      <c r="L713" s="25"/>
    </row>
    <row r="714">
      <c r="K714" s="3"/>
      <c r="L714" s="25"/>
    </row>
    <row r="715">
      <c r="K715" s="3"/>
      <c r="L715" s="25"/>
    </row>
    <row r="716">
      <c r="K716" s="3"/>
      <c r="L716" s="25"/>
    </row>
    <row r="717">
      <c r="K717" s="3"/>
      <c r="L717" s="25"/>
    </row>
    <row r="718">
      <c r="K718" s="3"/>
      <c r="L718" s="25"/>
    </row>
    <row r="719">
      <c r="K719" s="3"/>
      <c r="L719" s="25"/>
    </row>
    <row r="720">
      <c r="K720" s="3"/>
      <c r="L720" s="25"/>
    </row>
    <row r="721">
      <c r="K721" s="3"/>
      <c r="L721" s="25"/>
    </row>
    <row r="722">
      <c r="K722" s="3"/>
      <c r="L722" s="25"/>
    </row>
    <row r="723">
      <c r="K723" s="3"/>
      <c r="L723" s="25"/>
    </row>
    <row r="724">
      <c r="K724" s="3"/>
      <c r="L724" s="25"/>
    </row>
    <row r="725">
      <c r="K725" s="3"/>
      <c r="L725" s="25"/>
    </row>
    <row r="726">
      <c r="K726" s="3"/>
      <c r="L726" s="25"/>
    </row>
    <row r="727">
      <c r="K727" s="3"/>
      <c r="L727" s="25"/>
    </row>
    <row r="728">
      <c r="K728" s="3"/>
      <c r="L728" s="25"/>
    </row>
    <row r="729">
      <c r="K729" s="3"/>
      <c r="L729" s="25"/>
    </row>
    <row r="730">
      <c r="K730" s="3"/>
      <c r="L730" s="25"/>
    </row>
    <row r="731">
      <c r="K731" s="3"/>
      <c r="L731" s="25"/>
    </row>
    <row r="732">
      <c r="K732" s="3"/>
      <c r="L732" s="25"/>
    </row>
    <row r="733">
      <c r="K733" s="3"/>
      <c r="L733" s="25"/>
    </row>
    <row r="734">
      <c r="K734" s="3"/>
      <c r="L734" s="25"/>
    </row>
    <row r="735">
      <c r="K735" s="3"/>
      <c r="L735" s="25"/>
    </row>
    <row r="736">
      <c r="K736" s="3"/>
      <c r="L736" s="25"/>
    </row>
    <row r="737">
      <c r="K737" s="3"/>
      <c r="L737" s="25"/>
    </row>
    <row r="738">
      <c r="K738" s="3"/>
      <c r="L738" s="25"/>
    </row>
    <row r="739">
      <c r="K739" s="3"/>
      <c r="L739" s="25"/>
    </row>
    <row r="740">
      <c r="K740" s="3"/>
      <c r="L740" s="25"/>
    </row>
    <row r="741">
      <c r="K741" s="3"/>
      <c r="L741" s="25"/>
    </row>
    <row r="742">
      <c r="K742" s="3"/>
      <c r="L742" s="25"/>
    </row>
    <row r="743">
      <c r="K743" s="3"/>
      <c r="L743" s="25"/>
    </row>
    <row r="744">
      <c r="K744" s="3"/>
      <c r="L744" s="25"/>
    </row>
    <row r="745">
      <c r="K745" s="3"/>
      <c r="L745" s="25"/>
    </row>
    <row r="746">
      <c r="K746" s="3"/>
      <c r="L746" s="25"/>
    </row>
    <row r="747">
      <c r="K747" s="3"/>
      <c r="L747" s="25"/>
    </row>
    <row r="748">
      <c r="K748" s="3"/>
      <c r="L748" s="25"/>
    </row>
    <row r="749">
      <c r="K749" s="3"/>
      <c r="L749" s="25"/>
    </row>
    <row r="750">
      <c r="K750" s="3"/>
      <c r="L750" s="25"/>
    </row>
    <row r="751">
      <c r="K751" s="3"/>
      <c r="L751" s="25"/>
    </row>
    <row r="752">
      <c r="K752" s="3"/>
      <c r="L752" s="25"/>
    </row>
    <row r="753">
      <c r="K753" s="3"/>
      <c r="L753" s="25"/>
    </row>
    <row r="754">
      <c r="K754" s="3"/>
      <c r="L754" s="25"/>
    </row>
    <row r="755">
      <c r="K755" s="3"/>
      <c r="L755" s="25"/>
    </row>
    <row r="756">
      <c r="K756" s="3"/>
      <c r="L756" s="25"/>
    </row>
    <row r="757">
      <c r="K757" s="3"/>
      <c r="L757" s="25"/>
    </row>
    <row r="758">
      <c r="K758" s="3"/>
      <c r="L758" s="25"/>
    </row>
    <row r="759">
      <c r="K759" s="3"/>
      <c r="L759" s="25"/>
    </row>
    <row r="760">
      <c r="K760" s="3"/>
      <c r="L760" s="25"/>
    </row>
    <row r="761">
      <c r="K761" s="3"/>
      <c r="L761" s="25"/>
    </row>
    <row r="762">
      <c r="K762" s="3"/>
      <c r="L762" s="25"/>
    </row>
    <row r="763">
      <c r="K763" s="3"/>
      <c r="L763" s="25"/>
    </row>
    <row r="764">
      <c r="K764" s="3"/>
      <c r="L764" s="25"/>
    </row>
    <row r="765">
      <c r="K765" s="3"/>
      <c r="L765" s="25"/>
    </row>
    <row r="766">
      <c r="K766" s="3"/>
      <c r="L766" s="25"/>
    </row>
    <row r="767">
      <c r="K767" s="3"/>
      <c r="L767" s="25"/>
    </row>
    <row r="768">
      <c r="K768" s="3"/>
      <c r="L768" s="25"/>
    </row>
    <row r="769">
      <c r="K769" s="3"/>
      <c r="L769" s="25"/>
    </row>
    <row r="770">
      <c r="K770" s="3"/>
      <c r="L770" s="25"/>
    </row>
    <row r="771">
      <c r="K771" s="3"/>
      <c r="L771" s="25"/>
    </row>
    <row r="772">
      <c r="K772" s="3"/>
      <c r="L772" s="25"/>
    </row>
    <row r="773">
      <c r="K773" s="3"/>
      <c r="L773" s="25"/>
    </row>
    <row r="774">
      <c r="K774" s="3"/>
      <c r="L774" s="25"/>
    </row>
    <row r="775">
      <c r="K775" s="3"/>
      <c r="L775" s="25"/>
    </row>
    <row r="776">
      <c r="K776" s="3"/>
      <c r="L776" s="25"/>
    </row>
    <row r="777">
      <c r="K777" s="3"/>
      <c r="L777" s="25"/>
    </row>
    <row r="778">
      <c r="K778" s="3"/>
      <c r="L778" s="25"/>
    </row>
    <row r="779">
      <c r="K779" s="3"/>
      <c r="L779" s="25"/>
    </row>
    <row r="780">
      <c r="K780" s="3"/>
      <c r="L780" s="25"/>
    </row>
    <row r="781">
      <c r="K781" s="3"/>
      <c r="L781" s="25"/>
    </row>
    <row r="782">
      <c r="K782" s="3"/>
      <c r="L782" s="25"/>
    </row>
    <row r="783">
      <c r="K783" s="3"/>
      <c r="L783" s="25"/>
    </row>
    <row r="784">
      <c r="K784" s="3"/>
      <c r="L784" s="25"/>
    </row>
    <row r="785">
      <c r="K785" s="3"/>
      <c r="L785" s="25"/>
    </row>
    <row r="786">
      <c r="K786" s="3"/>
      <c r="L786" s="25"/>
    </row>
    <row r="787">
      <c r="K787" s="3"/>
      <c r="L787" s="25"/>
    </row>
    <row r="788">
      <c r="K788" s="3"/>
      <c r="L788" s="25"/>
    </row>
    <row r="789">
      <c r="K789" s="3"/>
      <c r="L789" s="25"/>
    </row>
    <row r="790">
      <c r="K790" s="3"/>
      <c r="L790" s="25"/>
    </row>
    <row r="791">
      <c r="K791" s="3"/>
      <c r="L791" s="25"/>
    </row>
    <row r="792">
      <c r="K792" s="3"/>
      <c r="L792" s="25"/>
    </row>
    <row r="793">
      <c r="K793" s="3"/>
      <c r="L793" s="25"/>
    </row>
    <row r="794">
      <c r="K794" s="3"/>
      <c r="L794" s="25"/>
    </row>
    <row r="795">
      <c r="K795" s="3"/>
      <c r="L795" s="25"/>
    </row>
    <row r="796">
      <c r="K796" s="3"/>
      <c r="L796" s="25"/>
    </row>
    <row r="797">
      <c r="K797" s="3"/>
      <c r="L797" s="25"/>
    </row>
    <row r="798">
      <c r="K798" s="3"/>
      <c r="L798" s="25"/>
    </row>
    <row r="799">
      <c r="K799" s="3"/>
      <c r="L799" s="25"/>
    </row>
    <row r="800">
      <c r="K800" s="3"/>
      <c r="L800" s="25"/>
    </row>
    <row r="801">
      <c r="K801" s="3"/>
      <c r="L801" s="25"/>
    </row>
    <row r="802">
      <c r="K802" s="3"/>
      <c r="L802" s="25"/>
    </row>
    <row r="803">
      <c r="K803" s="3"/>
      <c r="L803" s="25"/>
    </row>
    <row r="804">
      <c r="K804" s="3"/>
      <c r="L804" s="25"/>
    </row>
    <row r="805">
      <c r="K805" s="3"/>
      <c r="L805" s="25"/>
    </row>
    <row r="806">
      <c r="K806" s="3"/>
      <c r="L806" s="25"/>
    </row>
    <row r="807">
      <c r="K807" s="3"/>
      <c r="L807" s="25"/>
    </row>
    <row r="808">
      <c r="K808" s="3"/>
      <c r="L808" s="25"/>
    </row>
    <row r="809">
      <c r="K809" s="3"/>
      <c r="L809" s="25"/>
    </row>
    <row r="810">
      <c r="K810" s="3"/>
      <c r="L810" s="25"/>
    </row>
    <row r="811">
      <c r="K811" s="3"/>
      <c r="L811" s="25"/>
    </row>
    <row r="812">
      <c r="K812" s="3"/>
      <c r="L812" s="25"/>
    </row>
    <row r="813">
      <c r="K813" s="3"/>
      <c r="L813" s="25"/>
    </row>
    <row r="814">
      <c r="K814" s="3"/>
      <c r="L814" s="25"/>
    </row>
    <row r="815">
      <c r="K815" s="3"/>
      <c r="L815" s="25"/>
    </row>
    <row r="816">
      <c r="K816" s="3"/>
      <c r="L816" s="25"/>
    </row>
    <row r="817">
      <c r="K817" s="3"/>
      <c r="L817" s="25"/>
    </row>
    <row r="818">
      <c r="K818" s="3"/>
      <c r="L818" s="25"/>
    </row>
    <row r="819">
      <c r="K819" s="3"/>
      <c r="L819" s="25"/>
    </row>
    <row r="820">
      <c r="K820" s="3"/>
      <c r="L820" s="25"/>
    </row>
    <row r="821">
      <c r="K821" s="3"/>
      <c r="L821" s="25"/>
    </row>
    <row r="822">
      <c r="K822" s="3"/>
      <c r="L822" s="25"/>
    </row>
    <row r="823">
      <c r="K823" s="3"/>
      <c r="L823" s="25"/>
    </row>
    <row r="824">
      <c r="K824" s="3"/>
      <c r="L824" s="25"/>
    </row>
    <row r="825">
      <c r="K825" s="3"/>
      <c r="L825" s="25"/>
    </row>
    <row r="826">
      <c r="K826" s="3"/>
      <c r="L826" s="25"/>
    </row>
    <row r="827">
      <c r="K827" s="3"/>
      <c r="L827" s="25"/>
    </row>
    <row r="828">
      <c r="K828" s="3"/>
      <c r="L828" s="25"/>
    </row>
    <row r="829">
      <c r="K829" s="3"/>
      <c r="L829" s="25"/>
    </row>
    <row r="830">
      <c r="K830" s="3"/>
      <c r="L830" s="25"/>
    </row>
    <row r="831">
      <c r="K831" s="3"/>
      <c r="L831" s="25"/>
    </row>
    <row r="832">
      <c r="K832" s="3"/>
      <c r="L832" s="25"/>
    </row>
    <row r="833">
      <c r="K833" s="3"/>
      <c r="L833" s="25"/>
    </row>
    <row r="834">
      <c r="K834" s="3"/>
      <c r="L834" s="25"/>
    </row>
    <row r="835">
      <c r="K835" s="3"/>
      <c r="L835" s="25"/>
    </row>
    <row r="836">
      <c r="K836" s="3"/>
      <c r="L836" s="25"/>
    </row>
    <row r="837">
      <c r="K837" s="3"/>
      <c r="L837" s="25"/>
    </row>
    <row r="838">
      <c r="K838" s="3"/>
      <c r="L838" s="25"/>
    </row>
    <row r="839">
      <c r="K839" s="3"/>
      <c r="L839" s="25"/>
    </row>
    <row r="840">
      <c r="K840" s="3"/>
      <c r="L840" s="25"/>
    </row>
    <row r="841">
      <c r="K841" s="3"/>
      <c r="L841" s="25"/>
    </row>
    <row r="842">
      <c r="K842" s="3"/>
      <c r="L842" s="25"/>
    </row>
    <row r="843">
      <c r="K843" s="3"/>
      <c r="L843" s="25"/>
    </row>
    <row r="844">
      <c r="K844" s="3"/>
      <c r="L844" s="25"/>
    </row>
    <row r="845">
      <c r="K845" s="3"/>
      <c r="L845" s="25"/>
    </row>
    <row r="846">
      <c r="K846" s="3"/>
      <c r="L846" s="25"/>
    </row>
    <row r="847">
      <c r="K847" s="3"/>
      <c r="L847" s="25"/>
    </row>
    <row r="848">
      <c r="K848" s="3"/>
      <c r="L848" s="25"/>
    </row>
    <row r="849">
      <c r="K849" s="3"/>
      <c r="L849" s="25"/>
    </row>
    <row r="850">
      <c r="K850" s="3"/>
      <c r="L850" s="25"/>
    </row>
    <row r="851">
      <c r="K851" s="3"/>
      <c r="L851" s="25"/>
    </row>
    <row r="852">
      <c r="K852" s="3"/>
      <c r="L852" s="25"/>
    </row>
    <row r="853">
      <c r="K853" s="3"/>
      <c r="L853" s="25"/>
    </row>
    <row r="854">
      <c r="K854" s="3"/>
      <c r="L854" s="25"/>
    </row>
    <row r="855">
      <c r="K855" s="3"/>
      <c r="L855" s="25"/>
    </row>
    <row r="856">
      <c r="K856" s="3"/>
      <c r="L856" s="25"/>
    </row>
    <row r="857">
      <c r="K857" s="3"/>
      <c r="L857" s="25"/>
    </row>
    <row r="858">
      <c r="K858" s="3"/>
      <c r="L858" s="25"/>
    </row>
    <row r="859">
      <c r="K859" s="3"/>
      <c r="L859" s="25"/>
    </row>
    <row r="860">
      <c r="K860" s="3"/>
      <c r="L860" s="25"/>
    </row>
    <row r="861">
      <c r="K861" s="3"/>
      <c r="L861" s="25"/>
    </row>
    <row r="862">
      <c r="K862" s="3"/>
      <c r="L862" s="25"/>
    </row>
    <row r="863">
      <c r="K863" s="3"/>
      <c r="L863" s="25"/>
    </row>
    <row r="864">
      <c r="K864" s="3"/>
      <c r="L864" s="25"/>
    </row>
    <row r="865">
      <c r="K865" s="3"/>
      <c r="L865" s="25"/>
    </row>
    <row r="866">
      <c r="K866" s="3"/>
      <c r="L866" s="25"/>
    </row>
    <row r="867">
      <c r="K867" s="3"/>
      <c r="L867" s="25"/>
    </row>
    <row r="868">
      <c r="K868" s="3"/>
      <c r="L868" s="25"/>
    </row>
    <row r="869">
      <c r="K869" s="3"/>
      <c r="L869" s="25"/>
    </row>
    <row r="870">
      <c r="K870" s="3"/>
      <c r="L870" s="25"/>
    </row>
    <row r="871">
      <c r="K871" s="3"/>
      <c r="L871" s="25"/>
    </row>
    <row r="872">
      <c r="K872" s="3"/>
      <c r="L872" s="25"/>
    </row>
    <row r="873">
      <c r="K873" s="3"/>
      <c r="L873" s="25"/>
    </row>
    <row r="874">
      <c r="K874" s="3"/>
      <c r="L874" s="25"/>
    </row>
    <row r="875">
      <c r="K875" s="3"/>
      <c r="L875" s="25"/>
    </row>
    <row r="876">
      <c r="K876" s="3"/>
      <c r="L876" s="25"/>
    </row>
    <row r="877">
      <c r="K877" s="3"/>
      <c r="L877" s="25"/>
    </row>
    <row r="878">
      <c r="K878" s="3"/>
      <c r="L878" s="25"/>
    </row>
    <row r="879">
      <c r="K879" s="3"/>
      <c r="L879" s="25"/>
    </row>
    <row r="880">
      <c r="K880" s="3"/>
      <c r="L880" s="25"/>
    </row>
    <row r="881">
      <c r="K881" s="3"/>
      <c r="L881" s="25"/>
    </row>
    <row r="882">
      <c r="K882" s="3"/>
      <c r="L882" s="25"/>
    </row>
    <row r="883">
      <c r="K883" s="3"/>
      <c r="L883" s="25"/>
    </row>
    <row r="884">
      <c r="K884" s="3"/>
      <c r="L884" s="25"/>
    </row>
    <row r="885">
      <c r="K885" s="3"/>
      <c r="L885" s="25"/>
    </row>
    <row r="886">
      <c r="K886" s="3"/>
      <c r="L886" s="25"/>
    </row>
    <row r="887">
      <c r="K887" s="3"/>
      <c r="L887" s="25"/>
    </row>
    <row r="888">
      <c r="K888" s="3"/>
      <c r="L888" s="25"/>
    </row>
    <row r="889">
      <c r="K889" s="3"/>
      <c r="L889" s="25"/>
    </row>
    <row r="890">
      <c r="K890" s="3"/>
      <c r="L890" s="25"/>
    </row>
    <row r="891">
      <c r="K891" s="3"/>
      <c r="L891" s="25"/>
    </row>
    <row r="892">
      <c r="K892" s="3"/>
      <c r="L892" s="25"/>
    </row>
    <row r="893">
      <c r="K893" s="3"/>
      <c r="L893" s="25"/>
    </row>
    <row r="894">
      <c r="K894" s="3"/>
      <c r="L894" s="25"/>
    </row>
    <row r="895">
      <c r="K895" s="3"/>
      <c r="L895" s="25"/>
    </row>
    <row r="896">
      <c r="K896" s="3"/>
      <c r="L896" s="25"/>
    </row>
    <row r="897">
      <c r="K897" s="3"/>
      <c r="L897" s="25"/>
    </row>
    <row r="898">
      <c r="K898" s="3"/>
      <c r="L898" s="25"/>
    </row>
    <row r="899">
      <c r="K899" s="3"/>
      <c r="L899" s="25"/>
    </row>
    <row r="900">
      <c r="K900" s="3"/>
      <c r="L900" s="25"/>
    </row>
    <row r="901">
      <c r="K901" s="3"/>
      <c r="L901" s="25"/>
    </row>
    <row r="902">
      <c r="K902" s="3"/>
      <c r="L902" s="25"/>
    </row>
    <row r="903">
      <c r="K903" s="3"/>
      <c r="L903" s="25"/>
    </row>
    <row r="904">
      <c r="K904" s="3"/>
      <c r="L904" s="25"/>
    </row>
    <row r="905">
      <c r="K905" s="3"/>
      <c r="L905" s="25"/>
    </row>
    <row r="906">
      <c r="K906" s="3"/>
      <c r="L906" s="25"/>
    </row>
    <row r="907">
      <c r="K907" s="3"/>
      <c r="L907" s="25"/>
    </row>
    <row r="908">
      <c r="K908" s="3"/>
      <c r="L908" s="25"/>
    </row>
    <row r="909">
      <c r="K909" s="3"/>
      <c r="L909" s="25"/>
    </row>
    <row r="910">
      <c r="K910" s="3"/>
      <c r="L910" s="25"/>
    </row>
    <row r="911">
      <c r="K911" s="3"/>
      <c r="L911" s="25"/>
    </row>
    <row r="912">
      <c r="K912" s="3"/>
      <c r="L912" s="25"/>
    </row>
    <row r="913">
      <c r="K913" s="3"/>
      <c r="L913" s="25"/>
    </row>
    <row r="914">
      <c r="K914" s="3"/>
      <c r="L914" s="25"/>
    </row>
    <row r="915">
      <c r="K915" s="3"/>
      <c r="L915" s="25"/>
    </row>
    <row r="916">
      <c r="K916" s="3"/>
      <c r="L916" s="25"/>
    </row>
    <row r="917">
      <c r="K917" s="3"/>
      <c r="L917" s="25"/>
    </row>
    <row r="918">
      <c r="K918" s="3"/>
      <c r="L918" s="25"/>
    </row>
    <row r="919">
      <c r="K919" s="3"/>
      <c r="L919" s="25"/>
    </row>
    <row r="920">
      <c r="K920" s="3"/>
      <c r="L920" s="25"/>
    </row>
    <row r="921">
      <c r="K921" s="3"/>
      <c r="L921" s="25"/>
    </row>
    <row r="922">
      <c r="K922" s="3"/>
      <c r="L922" s="25"/>
    </row>
    <row r="923">
      <c r="K923" s="3"/>
      <c r="L923" s="25"/>
    </row>
    <row r="924">
      <c r="K924" s="3"/>
      <c r="L924" s="25"/>
    </row>
    <row r="925">
      <c r="K925" s="3"/>
      <c r="L925" s="25"/>
    </row>
    <row r="926">
      <c r="K926" s="3"/>
      <c r="L926" s="25"/>
    </row>
    <row r="927">
      <c r="K927" s="3"/>
      <c r="L927" s="25"/>
    </row>
    <row r="928">
      <c r="K928" s="3"/>
      <c r="L928" s="25"/>
    </row>
    <row r="929">
      <c r="K929" s="3"/>
      <c r="L929" s="25"/>
    </row>
    <row r="930">
      <c r="K930" s="3"/>
      <c r="L930" s="25"/>
    </row>
    <row r="931">
      <c r="K931" s="3"/>
      <c r="L931" s="25"/>
    </row>
    <row r="932">
      <c r="K932" s="3"/>
      <c r="L932" s="25"/>
    </row>
    <row r="933">
      <c r="K933" s="3"/>
      <c r="L933" s="25"/>
    </row>
    <row r="934">
      <c r="K934" s="3"/>
      <c r="L934" s="25"/>
    </row>
    <row r="935">
      <c r="K935" s="3"/>
      <c r="L935" s="25"/>
    </row>
    <row r="936">
      <c r="K936" s="3"/>
      <c r="L936" s="25"/>
    </row>
    <row r="937">
      <c r="K937" s="3"/>
      <c r="L937" s="25"/>
    </row>
    <row r="938">
      <c r="K938" s="3"/>
      <c r="L938" s="25"/>
    </row>
    <row r="939">
      <c r="K939" s="3"/>
      <c r="L939" s="25"/>
    </row>
    <row r="940">
      <c r="K940" s="3"/>
      <c r="L940" s="25"/>
    </row>
    <row r="941">
      <c r="K941" s="3"/>
      <c r="L941" s="25"/>
    </row>
    <row r="942">
      <c r="K942" s="3"/>
      <c r="L942" s="25"/>
    </row>
    <row r="943">
      <c r="K943" s="3"/>
      <c r="L943" s="25"/>
    </row>
    <row r="944">
      <c r="K944" s="3"/>
      <c r="L944" s="25"/>
    </row>
    <row r="945">
      <c r="K945" s="3"/>
      <c r="L945" s="25"/>
    </row>
    <row r="946">
      <c r="K946" s="3"/>
      <c r="L946" s="25"/>
    </row>
    <row r="947">
      <c r="K947" s="3"/>
      <c r="L947" s="25"/>
    </row>
    <row r="948">
      <c r="K948" s="3"/>
      <c r="L948" s="25"/>
    </row>
    <row r="949">
      <c r="K949" s="3"/>
      <c r="L949" s="25"/>
    </row>
    <row r="950">
      <c r="K950" s="3"/>
      <c r="L950" s="25"/>
    </row>
    <row r="951">
      <c r="K951" s="3"/>
      <c r="L951" s="25"/>
    </row>
    <row r="952">
      <c r="K952" s="3"/>
      <c r="L952" s="25"/>
    </row>
    <row r="953">
      <c r="K953" s="3"/>
      <c r="L953" s="25"/>
    </row>
    <row r="954">
      <c r="K954" s="3"/>
      <c r="L954" s="25"/>
    </row>
    <row r="955">
      <c r="K955" s="3"/>
      <c r="L955" s="25"/>
    </row>
    <row r="956">
      <c r="K956" s="3"/>
      <c r="L956" s="25"/>
    </row>
    <row r="957">
      <c r="K957" s="3"/>
      <c r="L957" s="25"/>
    </row>
    <row r="958">
      <c r="K958" s="3"/>
      <c r="L958" s="25"/>
    </row>
    <row r="959">
      <c r="K959" s="3"/>
      <c r="L959" s="25"/>
    </row>
    <row r="960">
      <c r="K960" s="3"/>
      <c r="L960" s="25"/>
    </row>
    <row r="961">
      <c r="K961" s="3"/>
      <c r="L961" s="25"/>
    </row>
    <row r="962">
      <c r="K962" s="3"/>
      <c r="L962" s="25"/>
    </row>
    <row r="963">
      <c r="K963" s="3"/>
      <c r="L963" s="25"/>
    </row>
    <row r="964">
      <c r="K964" s="3"/>
      <c r="L964" s="25"/>
    </row>
    <row r="965">
      <c r="K965" s="3"/>
      <c r="L965" s="25"/>
    </row>
    <row r="966">
      <c r="K966" s="3"/>
      <c r="L966" s="25"/>
    </row>
    <row r="967">
      <c r="K967" s="3"/>
      <c r="L967" s="25"/>
    </row>
    <row r="968">
      <c r="K968" s="3"/>
      <c r="L968" s="25"/>
    </row>
    <row r="969">
      <c r="K969" s="3"/>
      <c r="L969" s="25"/>
    </row>
    <row r="970">
      <c r="K970" s="3"/>
      <c r="L970" s="25"/>
    </row>
    <row r="971">
      <c r="K971" s="3"/>
      <c r="L971" s="25"/>
    </row>
    <row r="972">
      <c r="K972" s="3"/>
      <c r="L972" s="25"/>
    </row>
    <row r="973">
      <c r="K973" s="3"/>
      <c r="L973" s="25"/>
    </row>
    <row r="974">
      <c r="K974" s="3"/>
      <c r="L974" s="25"/>
    </row>
    <row r="975">
      <c r="K975" s="3"/>
      <c r="L975" s="25"/>
    </row>
    <row r="976">
      <c r="K976" s="3"/>
      <c r="L976" s="25"/>
    </row>
    <row r="977">
      <c r="K977" s="3"/>
      <c r="L977" s="25"/>
    </row>
    <row r="978">
      <c r="K978" s="3"/>
      <c r="L978" s="25"/>
    </row>
    <row r="979">
      <c r="K979" s="3"/>
      <c r="L979" s="25"/>
    </row>
    <row r="980">
      <c r="K980" s="3"/>
      <c r="L980" s="25"/>
    </row>
    <row r="981">
      <c r="K981" s="3"/>
      <c r="L981" s="25"/>
    </row>
    <row r="982">
      <c r="K982" s="3"/>
      <c r="L982" s="25"/>
    </row>
    <row r="983">
      <c r="K983" s="3"/>
      <c r="L983" s="25"/>
    </row>
    <row r="984">
      <c r="K984" s="3"/>
      <c r="L984" s="25"/>
    </row>
    <row r="985">
      <c r="K985" s="3"/>
      <c r="L985" s="25"/>
    </row>
    <row r="986">
      <c r="K986" s="3"/>
      <c r="L986" s="25"/>
    </row>
    <row r="987">
      <c r="K987" s="3"/>
      <c r="L987" s="25"/>
    </row>
    <row r="988">
      <c r="K988" s="3"/>
      <c r="L988" s="25"/>
    </row>
    <row r="989">
      <c r="K989" s="3"/>
      <c r="L989" s="25"/>
    </row>
    <row r="990">
      <c r="K990" s="3"/>
      <c r="L990" s="25"/>
    </row>
    <row r="991">
      <c r="K991" s="3"/>
      <c r="L991" s="25"/>
    </row>
    <row r="992">
      <c r="K992" s="3"/>
      <c r="L992" s="25"/>
    </row>
    <row r="993">
      <c r="K993" s="3"/>
      <c r="L993" s="25"/>
    </row>
    <row r="994">
      <c r="K994" s="3"/>
      <c r="L994" s="25"/>
    </row>
    <row r="995">
      <c r="K995" s="3"/>
      <c r="L995" s="25"/>
    </row>
    <row r="996">
      <c r="K996" s="3"/>
      <c r="L996" s="25"/>
    </row>
    <row r="997">
      <c r="K997" s="3"/>
      <c r="L997" s="25"/>
    </row>
    <row r="998">
      <c r="K998" s="3"/>
      <c r="L998" s="25"/>
    </row>
    <row r="999">
      <c r="K999" s="3"/>
      <c r="L999" s="25"/>
    </row>
    <row r="1000">
      <c r="K1000" s="3"/>
      <c r="L1000" s="25"/>
    </row>
  </sheetData>
  <mergeCells count="2">
    <mergeCell ref="B1:F1"/>
    <mergeCell ref="B2:F2"/>
  </mergeCells>
  <dataValidations>
    <dataValidation type="list" allowBlank="1" showErrorMessage="1" sqref="L8:L1000">
      <formula1>"PASS,FAILS,SKIP"</formula1>
    </dataValidation>
  </dataValidations>
  <hyperlinks>
    <hyperlink r:id="rId1" ref="G8"/>
    <hyperlink r:id="rId2" ref="M15"/>
    <hyperlink r:id="rId3" ref="M19"/>
    <hyperlink r:id="rId4" ref="M23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38"/>
    <col customWidth="1" min="7" max="7" width="108.25"/>
  </cols>
  <sheetData>
    <row r="1">
      <c r="A1" s="26" t="s">
        <v>367</v>
      </c>
    </row>
    <row r="2">
      <c r="A2" s="27"/>
      <c r="B2" s="27"/>
      <c r="C2" s="27"/>
      <c r="D2" s="27"/>
      <c r="E2" s="27"/>
      <c r="F2" s="27"/>
      <c r="G2" s="27"/>
    </row>
    <row r="3">
      <c r="A3" s="28" t="s">
        <v>368</v>
      </c>
    </row>
    <row r="4">
      <c r="A4" s="29"/>
      <c r="B4" s="30" t="s">
        <v>369</v>
      </c>
      <c r="C4" s="2" t="s">
        <v>1</v>
      </c>
    </row>
    <row r="5">
      <c r="A5" s="29"/>
      <c r="B5" s="30" t="s">
        <v>370</v>
      </c>
      <c r="C5" s="31" t="s">
        <v>371</v>
      </c>
    </row>
    <row r="6">
      <c r="A6" s="29"/>
      <c r="B6" s="30" t="s">
        <v>372</v>
      </c>
      <c r="C6" s="2" t="s">
        <v>373</v>
      </c>
    </row>
    <row r="7">
      <c r="A7" s="29"/>
      <c r="B7" s="30" t="s">
        <v>374</v>
      </c>
      <c r="C7" s="2" t="s">
        <v>375</v>
      </c>
    </row>
    <row r="8">
      <c r="A8" s="29"/>
      <c r="B8" s="30" t="s">
        <v>376</v>
      </c>
      <c r="C8" s="2" t="s">
        <v>377</v>
      </c>
    </row>
    <row r="9">
      <c r="A9" s="29"/>
      <c r="B9" s="30" t="s">
        <v>378</v>
      </c>
      <c r="C9" s="2" t="s">
        <v>3</v>
      </c>
    </row>
    <row r="10">
      <c r="A10" s="29"/>
      <c r="B10" s="30" t="s">
        <v>379</v>
      </c>
      <c r="C10" s="32">
        <v>46193.0</v>
      </c>
    </row>
    <row r="11">
      <c r="A11" s="27"/>
      <c r="B11" s="27"/>
      <c r="C11" s="27"/>
      <c r="D11" s="27"/>
      <c r="E11" s="27"/>
      <c r="F11" s="27"/>
      <c r="G11" s="27"/>
    </row>
    <row r="12">
      <c r="A12" s="28" t="s">
        <v>380</v>
      </c>
    </row>
    <row r="13">
      <c r="A13" s="29"/>
      <c r="B13" s="33" t="s">
        <v>381</v>
      </c>
      <c r="C13" s="33" t="s">
        <v>382</v>
      </c>
      <c r="D13" s="33" t="s">
        <v>383</v>
      </c>
      <c r="E13" s="33" t="s">
        <v>384</v>
      </c>
      <c r="F13" s="33" t="s">
        <v>385</v>
      </c>
      <c r="G13" s="33" t="s">
        <v>386</v>
      </c>
    </row>
    <row r="14">
      <c r="A14" s="29"/>
      <c r="B14" s="34">
        <f>COUNTA(Test_Case!B8:B100)</f>
        <v>50</v>
      </c>
      <c r="C14" s="35">
        <f>COUNTIF(Test_Case!L7:L100, "PASS")</f>
        <v>47</v>
      </c>
      <c r="D14" s="36">
        <f>COUNTIF(Test_Case!L8:L100, "FAILS")</f>
        <v>3</v>
      </c>
      <c r="E14" s="37">
        <f>COUNTIF(Test_Case!L7:L100, "Skip")</f>
        <v>0</v>
      </c>
      <c r="F14" s="38">
        <f>C14/B14</f>
        <v>0.94</v>
      </c>
      <c r="G14" s="39" t="s">
        <v>387</v>
      </c>
    </row>
    <row r="15">
      <c r="A15" s="29"/>
      <c r="B15" s="27"/>
      <c r="C15" s="27"/>
      <c r="D15" s="27"/>
      <c r="E15" s="27"/>
      <c r="F15" s="27"/>
      <c r="G15" s="27"/>
    </row>
    <row r="16">
      <c r="A16" s="29"/>
      <c r="B16" s="33" t="s">
        <v>10</v>
      </c>
      <c r="C16" s="33" t="s">
        <v>381</v>
      </c>
      <c r="D16" s="33" t="s">
        <v>382</v>
      </c>
      <c r="E16" s="33" t="s">
        <v>383</v>
      </c>
      <c r="F16" s="33" t="s">
        <v>385</v>
      </c>
      <c r="G16" s="33" t="s">
        <v>21</v>
      </c>
    </row>
    <row r="17">
      <c r="A17" s="29"/>
      <c r="B17" s="40" t="s">
        <v>23</v>
      </c>
      <c r="C17" s="41">
        <f>COUNTIF(Test_Case!C8:C73, "Login")</f>
        <v>12</v>
      </c>
      <c r="D17" s="42">
        <f>COUNTIFS(Test_Case!C8:C73, "Login", Test_Case!L8:L73, "PASS")</f>
        <v>10</v>
      </c>
      <c r="E17" s="43">
        <f>COUNTIFS(Test_Case!C8:C73, "Login", Test_Case!L8:L73, "FAILS")</f>
        <v>2</v>
      </c>
      <c r="F17" s="44">
        <f t="shared" ref="F17:F21" si="1">D17/C17</f>
        <v>0.8333333333</v>
      </c>
      <c r="G17" s="45" t="s">
        <v>388</v>
      </c>
    </row>
    <row r="18">
      <c r="A18" s="29"/>
      <c r="B18" s="40" t="s">
        <v>109</v>
      </c>
      <c r="C18" s="41">
        <f>COUNTIF(Test_Case!C9:C74, "PIM")</f>
        <v>15</v>
      </c>
      <c r="D18" s="42">
        <f>COUNTIFS(Test_Case!C9:C74, "PIM", Test_Case!L9:L74, "PASS")</f>
        <v>14</v>
      </c>
      <c r="E18" s="43">
        <f>COUNTIFS(Test_Case!C9:C74, "PIM", Test_Case!L9:L74, "FAILS")</f>
        <v>1</v>
      </c>
      <c r="F18" s="44">
        <f t="shared" si="1"/>
        <v>0.9333333333</v>
      </c>
      <c r="G18" s="45" t="s">
        <v>389</v>
      </c>
    </row>
    <row r="19">
      <c r="A19" s="29"/>
      <c r="B19" s="40" t="s">
        <v>215</v>
      </c>
      <c r="C19" s="41">
        <f>COUNTIF(Test_Case!C10:C75, "Leave")</f>
        <v>15</v>
      </c>
      <c r="D19" s="42">
        <f>COUNTIFS(Test_Case!C10:C75, "Leave", Test_Case!L10:L75, "PASS")</f>
        <v>15</v>
      </c>
      <c r="E19" s="43">
        <f>COUNTIFS(Test_Case!C10:C75, "Leave", Test_Case!L10:L75, "FAILS")</f>
        <v>0</v>
      </c>
      <c r="F19" s="44">
        <f t="shared" si="1"/>
        <v>1</v>
      </c>
      <c r="G19" s="45" t="s">
        <v>390</v>
      </c>
    </row>
    <row r="20">
      <c r="A20" s="29"/>
      <c r="B20" s="40" t="s">
        <v>320</v>
      </c>
      <c r="C20" s="41">
        <f>COUNTIF(Test_Case!C11:C76, "Directory")</f>
        <v>8</v>
      </c>
      <c r="D20" s="42">
        <f>COUNTIFS(Test_Case!C11:C76, "Directory", Test_Case!L11:L76, "PASS")</f>
        <v>8</v>
      </c>
      <c r="E20" s="43">
        <f>COUNTIFS(Test_Case!C11:C76, "Directory", Test_Case!L11:L76, "FAILS")</f>
        <v>0</v>
      </c>
      <c r="F20" s="44">
        <f t="shared" si="1"/>
        <v>1</v>
      </c>
      <c r="G20" s="45" t="s">
        <v>391</v>
      </c>
    </row>
    <row r="21">
      <c r="A21" s="29"/>
      <c r="B21" s="33" t="s">
        <v>392</v>
      </c>
      <c r="C21" s="33">
        <f t="shared" ref="C21:E21" si="2">SUM(C17:C20)</f>
        <v>50</v>
      </c>
      <c r="D21" s="33">
        <f t="shared" si="2"/>
        <v>47</v>
      </c>
      <c r="E21" s="33">
        <f t="shared" si="2"/>
        <v>3</v>
      </c>
      <c r="F21" s="46">
        <f t="shared" si="1"/>
        <v>0.94</v>
      </c>
      <c r="G21" s="47"/>
    </row>
    <row r="22">
      <c r="A22" s="27"/>
      <c r="B22" s="27"/>
      <c r="C22" s="27"/>
      <c r="D22" s="27"/>
      <c r="E22" s="27"/>
      <c r="F22" s="27"/>
      <c r="G22" s="27"/>
    </row>
    <row r="23">
      <c r="A23" s="48" t="s">
        <v>393</v>
      </c>
    </row>
    <row r="24">
      <c r="A24" s="29"/>
      <c r="B24" s="33" t="s">
        <v>20</v>
      </c>
      <c r="C24" s="33" t="s">
        <v>10</v>
      </c>
      <c r="D24" s="33" t="s">
        <v>394</v>
      </c>
      <c r="E24" s="33" t="s">
        <v>19</v>
      </c>
      <c r="F24" s="33" t="s">
        <v>395</v>
      </c>
      <c r="G24" s="33" t="s">
        <v>396</v>
      </c>
    </row>
    <row r="25">
      <c r="A25" s="29"/>
      <c r="B25" s="49" t="s">
        <v>397</v>
      </c>
      <c r="C25" s="2" t="s">
        <v>398</v>
      </c>
      <c r="D25" s="50" t="s">
        <v>63</v>
      </c>
      <c r="E25" s="50" t="s">
        <v>399</v>
      </c>
      <c r="F25" s="50" t="s">
        <v>74</v>
      </c>
      <c r="G25" s="2" t="s">
        <v>400</v>
      </c>
    </row>
    <row r="26">
      <c r="A26" s="29"/>
      <c r="B26" s="49" t="s">
        <v>401</v>
      </c>
      <c r="C26" s="2" t="s">
        <v>398</v>
      </c>
      <c r="D26" s="50" t="s">
        <v>26</v>
      </c>
      <c r="E26" s="50" t="s">
        <v>399</v>
      </c>
      <c r="F26" s="50" t="s">
        <v>101</v>
      </c>
      <c r="G26" s="51" t="s">
        <v>402</v>
      </c>
    </row>
    <row r="27">
      <c r="A27" s="29"/>
      <c r="B27" s="49" t="s">
        <v>403</v>
      </c>
      <c r="C27" s="51" t="s">
        <v>109</v>
      </c>
      <c r="D27" s="50" t="s">
        <v>63</v>
      </c>
      <c r="E27" s="50" t="s">
        <v>399</v>
      </c>
      <c r="F27" s="50" t="s">
        <v>130</v>
      </c>
      <c r="G27" s="51" t="s">
        <v>404</v>
      </c>
    </row>
    <row r="28">
      <c r="A28" s="29"/>
      <c r="B28" s="52"/>
      <c r="C28" s="27"/>
      <c r="D28" s="27"/>
      <c r="E28" s="27"/>
      <c r="F28" s="27"/>
      <c r="G28" s="27"/>
    </row>
    <row r="29">
      <c r="A29" s="28" t="s">
        <v>405</v>
      </c>
    </row>
    <row r="30">
      <c r="A30" s="29"/>
      <c r="B30" s="30" t="s">
        <v>406</v>
      </c>
      <c r="C30" s="45" t="s">
        <v>407</v>
      </c>
    </row>
    <row r="31">
      <c r="A31" s="29"/>
      <c r="B31" s="30" t="s">
        <v>408</v>
      </c>
      <c r="C31" s="45" t="s">
        <v>409</v>
      </c>
    </row>
    <row r="32">
      <c r="A32" s="29"/>
      <c r="B32" s="30" t="s">
        <v>410</v>
      </c>
      <c r="C32" s="45" t="s">
        <v>411</v>
      </c>
    </row>
    <row r="33">
      <c r="A33" s="29"/>
      <c r="B33" s="30" t="s">
        <v>412</v>
      </c>
      <c r="C33" s="45" t="s">
        <v>413</v>
      </c>
    </row>
    <row r="34">
      <c r="A34" s="29"/>
      <c r="B34" s="30" t="s">
        <v>414</v>
      </c>
      <c r="C34" s="45" t="s">
        <v>415</v>
      </c>
    </row>
    <row r="35">
      <c r="A35" s="29"/>
      <c r="B35" s="27"/>
      <c r="C35" s="27"/>
      <c r="D35" s="27"/>
      <c r="E35" s="27"/>
      <c r="F35" s="27"/>
      <c r="G35" s="27"/>
    </row>
    <row r="36">
      <c r="A36" s="28" t="s">
        <v>416</v>
      </c>
    </row>
    <row r="37">
      <c r="A37" s="29"/>
      <c r="B37" s="30" t="s">
        <v>386</v>
      </c>
      <c r="C37" s="45" t="s">
        <v>417</v>
      </c>
    </row>
    <row r="38">
      <c r="A38" s="29"/>
      <c r="B38" s="30" t="s">
        <v>418</v>
      </c>
      <c r="C38" s="45" t="s">
        <v>419</v>
      </c>
    </row>
    <row r="39">
      <c r="A39" s="29"/>
      <c r="B39" s="30" t="s">
        <v>420</v>
      </c>
      <c r="C39" s="45" t="s">
        <v>421</v>
      </c>
    </row>
    <row r="40">
      <c r="A40" s="29"/>
      <c r="B40" s="30" t="s">
        <v>422</v>
      </c>
      <c r="C40" s="45" t="s">
        <v>423</v>
      </c>
      <c r="D40" s="45"/>
      <c r="E40" s="45"/>
      <c r="F40" s="45"/>
      <c r="G40" s="45"/>
    </row>
    <row r="41">
      <c r="A41" s="29"/>
      <c r="B41" s="30" t="s">
        <v>424</v>
      </c>
      <c r="C41" s="45" t="s">
        <v>425</v>
      </c>
    </row>
    <row r="42">
      <c r="C42" s="4" t="s">
        <v>83</v>
      </c>
    </row>
  </sheetData>
  <mergeCells count="22">
    <mergeCell ref="A1:G1"/>
    <mergeCell ref="A3:G3"/>
    <mergeCell ref="C4:G4"/>
    <mergeCell ref="C5:G5"/>
    <mergeCell ref="C6:G6"/>
    <mergeCell ref="C7:G7"/>
    <mergeCell ref="C8:G8"/>
    <mergeCell ref="C32:G32"/>
    <mergeCell ref="C33:G33"/>
    <mergeCell ref="C34:G34"/>
    <mergeCell ref="A36:G36"/>
    <mergeCell ref="C37:G37"/>
    <mergeCell ref="C38:G38"/>
    <mergeCell ref="C39:G39"/>
    <mergeCell ref="C41:G41"/>
    <mergeCell ref="C9:G9"/>
    <mergeCell ref="C10:G10"/>
    <mergeCell ref="A12:G12"/>
    <mergeCell ref="A23:G23"/>
    <mergeCell ref="A29:G29"/>
    <mergeCell ref="C30:G30"/>
    <mergeCell ref="C31:G31"/>
  </mergeCells>
  <hyperlinks>
    <hyperlink r:id="rId1" ref="C5"/>
  </hyperlinks>
  <drawing r:id="rId2"/>
</worksheet>
</file>